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Baseline" sheetId="2" state="visible" r:id="rId2"/>
    <sheet name="Scenario_Base" sheetId="3" state="visible" r:id="rId3"/>
    <sheet name="Scenario_HigherMultiplier" sheetId="4" state="visible" r:id="rId4"/>
    <sheet name="Scenario_HigherImport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investment (USD mn)</t>
        </is>
      </c>
      <c r="B2" t="n">
        <v>7200</v>
      </c>
    </row>
    <row r="3">
      <c r="A3" t="inlineStr">
        <is>
          <t>FX rate (LCU/USD)</t>
        </is>
      </c>
      <c r="B3" t="n">
        <v>2.81</v>
      </c>
    </row>
    <row r="4">
      <c r="A4" t="inlineStr">
        <is>
          <t>Base import share</t>
        </is>
      </c>
      <c r="B4" t="n">
        <v>0.34</v>
      </c>
    </row>
    <row r="5">
      <c r="A5" t="inlineStr">
        <is>
          <t>Base multiplier</t>
        </is>
      </c>
      <c r="B5" t="n">
        <v>0.85</v>
      </c>
    </row>
    <row r="6">
      <c r="A6" t="inlineStr">
        <is>
          <t>Higher multiplier</t>
        </is>
      </c>
      <c r="B6" t="n">
        <v>1.05</v>
      </c>
    </row>
    <row r="7">
      <c r="A7" t="inlineStr">
        <is>
          <t>Higher import share</t>
        </is>
      </c>
      <c r="B7" t="n">
        <v>0.48</v>
      </c>
    </row>
    <row r="8">
      <c r="A8" t="inlineStr"/>
      <c r="B8" t="inlineStr"/>
    </row>
    <row r="9">
      <c r="A9" s="2" t="inlineStr">
        <is>
          <t>Year</t>
        </is>
      </c>
      <c r="B9" s="2" t="inlineStr">
        <is>
          <t>Bell weight</t>
        </is>
      </c>
    </row>
    <row r="10">
      <c r="A10" t="n">
        <v>2026</v>
      </c>
      <c r="B10" t="n">
        <v>0.05</v>
      </c>
    </row>
    <row r="11">
      <c r="A11" t="n">
        <v>2027</v>
      </c>
      <c r="B11" t="n">
        <v>0.1</v>
      </c>
    </row>
    <row r="12">
      <c r="A12" t="n">
        <v>2028</v>
      </c>
      <c r="B12" t="n">
        <v>0.15</v>
      </c>
    </row>
    <row r="13">
      <c r="A13" t="n">
        <v>2029</v>
      </c>
      <c r="B13" t="n">
        <v>0.2</v>
      </c>
    </row>
    <row r="14">
      <c r="A14" t="n">
        <v>2030</v>
      </c>
      <c r="B14" t="n">
        <v>0.2</v>
      </c>
    </row>
    <row r="15">
      <c r="A15" t="n">
        <v>2031</v>
      </c>
      <c r="B15" t="n">
        <v>0.15</v>
      </c>
    </row>
    <row r="16">
      <c r="A16" t="n">
        <v>2032</v>
      </c>
      <c r="B16" t="n">
        <v>0.1</v>
      </c>
    </row>
    <row r="17">
      <c r="A17" t="n">
        <v>2033</v>
      </c>
      <c r="B17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</cols>
  <sheetData>
    <row r="1">
      <c r="A1" s="1" t="inlineStr">
        <is>
          <t>Year</t>
        </is>
      </c>
      <c r="B1" s="1" t="inlineStr">
        <is>
          <t>Baseline GDP (LCU bn)</t>
        </is>
      </c>
      <c r="C1" s="1" t="inlineStr">
        <is>
          <t>GDP Deflator Index</t>
        </is>
      </c>
    </row>
    <row r="2">
      <c r="A2" t="n">
        <v>2026</v>
      </c>
      <c r="B2" t="n">
        <v>78.40000000000001</v>
      </c>
      <c r="C2" t="n">
        <v>1</v>
      </c>
    </row>
    <row r="3">
      <c r="A3" t="n">
        <v>2027</v>
      </c>
      <c r="B3" t="n">
        <v>81.5</v>
      </c>
      <c r="C3" t="n">
        <v>1.04</v>
      </c>
    </row>
    <row r="4">
      <c r="A4" t="n">
        <v>2028</v>
      </c>
      <c r="B4" t="n">
        <v>84.7</v>
      </c>
      <c r="C4" t="n">
        <v>1.08</v>
      </c>
    </row>
    <row r="5">
      <c r="A5" t="n">
        <v>2029</v>
      </c>
      <c r="B5" t="n">
        <v>88</v>
      </c>
      <c r="C5" t="n">
        <v>1.12</v>
      </c>
    </row>
    <row r="6">
      <c r="A6" t="n">
        <v>2030</v>
      </c>
      <c r="B6" t="n">
        <v>91.40000000000001</v>
      </c>
      <c r="C6" t="n">
        <v>1.16</v>
      </c>
    </row>
    <row r="7">
      <c r="A7" t="n">
        <v>2031</v>
      </c>
      <c r="B7" t="n">
        <v>94.90000000000001</v>
      </c>
      <c r="C7" t="n">
        <v>1.2</v>
      </c>
    </row>
    <row r="8">
      <c r="A8" t="n">
        <v>2032</v>
      </c>
      <c r="B8" t="n">
        <v>98.5</v>
      </c>
      <c r="C8" t="n">
        <v>1.24</v>
      </c>
    </row>
    <row r="9">
      <c r="A9" t="n">
        <v>2033</v>
      </c>
      <c r="B9" t="n">
        <v>102.1</v>
      </c>
      <c r="C9" t="n">
        <v>1.28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2" customWidth="1" min="4" max="4"/>
    <col width="20" customWidth="1" min="5" max="5"/>
    <col width="18" customWidth="1" min="6" max="6"/>
  </cols>
  <sheetData>
    <row r="1">
      <c r="A1" s="1" t="inlineStr">
        <is>
          <t>Year</t>
        </is>
      </c>
      <c r="B1" s="1" t="inlineStr">
        <is>
          <t>Bell weight</t>
        </is>
      </c>
      <c r="C1" s="1" t="inlineStr">
        <is>
          <t>Investment (LCU mn)</t>
        </is>
      </c>
      <c r="D1" s="1" t="inlineStr">
        <is>
          <t>Net demand (LCU mn)</t>
        </is>
      </c>
      <c r="E1" s="1" t="inlineStr">
        <is>
          <t>Real impact (LCU mn)</t>
        </is>
      </c>
      <c r="F1" s="1" t="inlineStr">
        <is>
          <t>GDP impact share</t>
        </is>
      </c>
    </row>
    <row r="2">
      <c r="A2">
        <f>Inputs!A10</f>
        <v/>
      </c>
      <c r="B2">
        <f>Inputs!B10</f>
        <v/>
      </c>
      <c r="C2">
        <f>Inputs!$B$2*Inputs!$B$3*B2</f>
        <v/>
      </c>
      <c r="D2">
        <f>C2*(1-Inputs!$B$4)*Inputs!$B$5</f>
        <v/>
      </c>
      <c r="E2">
        <f>D2/Baseline!C2</f>
        <v/>
      </c>
      <c r="F2">
        <f>E2/(Baseline!B2*1000)</f>
        <v/>
      </c>
    </row>
    <row r="3">
      <c r="A3">
        <f>Inputs!A11</f>
        <v/>
      </c>
      <c r="B3">
        <f>Inputs!B11</f>
        <v/>
      </c>
      <c r="C3">
        <f>Inputs!$B$2*Inputs!$B$3*B3</f>
        <v/>
      </c>
      <c r="D3">
        <f>C3*(1-Inputs!$B$4)*Inputs!$B$5</f>
        <v/>
      </c>
      <c r="E3">
        <f>D3/Baseline!C3</f>
        <v/>
      </c>
      <c r="F3">
        <f>E3/(Baseline!B3*1000)</f>
        <v/>
      </c>
    </row>
    <row r="4">
      <c r="A4">
        <f>Inputs!A12</f>
        <v/>
      </c>
      <c r="B4">
        <f>Inputs!B12</f>
        <v/>
      </c>
      <c r="C4">
        <f>Inputs!$B$2*Inputs!$B$3*B4</f>
        <v/>
      </c>
      <c r="D4">
        <f>C4*(1-Inputs!$B$4)*Inputs!$B$5</f>
        <v/>
      </c>
      <c r="E4">
        <f>D4/Baseline!C4</f>
        <v/>
      </c>
      <c r="F4">
        <f>E4/(Baseline!B4*1000)</f>
        <v/>
      </c>
    </row>
    <row r="5">
      <c r="A5">
        <f>Inputs!A13</f>
        <v/>
      </c>
      <c r="B5">
        <f>Inputs!B13</f>
        <v/>
      </c>
      <c r="C5">
        <f>Inputs!$B$2*Inputs!$B$3*B5</f>
        <v/>
      </c>
      <c r="D5">
        <f>C5*(1-Inputs!$B$4)*Inputs!$B$5</f>
        <v/>
      </c>
      <c r="E5">
        <f>D5/Baseline!C5</f>
        <v/>
      </c>
      <c r="F5">
        <f>E5/(Baseline!B5*1000)</f>
        <v/>
      </c>
    </row>
    <row r="6">
      <c r="A6">
        <f>Inputs!A14</f>
        <v/>
      </c>
      <c r="B6">
        <f>Inputs!B14</f>
        <v/>
      </c>
      <c r="C6">
        <f>Inputs!$B$2*Inputs!$B$3*B6</f>
        <v/>
      </c>
      <c r="D6">
        <f>C6*(1-Inputs!$B$4)*Inputs!$B$5</f>
        <v/>
      </c>
      <c r="E6">
        <f>D6/Baseline!C6</f>
        <v/>
      </c>
      <c r="F6">
        <f>E6/(Baseline!B6*1000)</f>
        <v/>
      </c>
    </row>
    <row r="7">
      <c r="A7">
        <f>Inputs!A15</f>
        <v/>
      </c>
      <c r="B7">
        <f>Inputs!B15</f>
        <v/>
      </c>
      <c r="C7">
        <f>Inputs!$B$2*Inputs!$B$3*B7</f>
        <v/>
      </c>
      <c r="D7">
        <f>C7*(1-Inputs!$B$4)*Inputs!$B$5</f>
        <v/>
      </c>
      <c r="E7">
        <f>D7/Baseline!C7</f>
        <v/>
      </c>
      <c r="F7">
        <f>E7/(Baseline!B7*1000)</f>
        <v/>
      </c>
    </row>
    <row r="8">
      <c r="A8">
        <f>Inputs!A16</f>
        <v/>
      </c>
      <c r="B8">
        <f>Inputs!B16</f>
        <v/>
      </c>
      <c r="C8">
        <f>Inputs!$B$2*Inputs!$B$3*B8</f>
        <v/>
      </c>
      <c r="D8">
        <f>C8*(1-Inputs!$B$4)*Inputs!$B$5</f>
        <v/>
      </c>
      <c r="E8">
        <f>D8/Baseline!C8</f>
        <v/>
      </c>
      <c r="F8">
        <f>E8/(Baseline!B8*1000)</f>
        <v/>
      </c>
    </row>
    <row r="9">
      <c r="A9">
        <f>Inputs!A17</f>
        <v/>
      </c>
      <c r="B9">
        <f>Inputs!B17</f>
        <v/>
      </c>
      <c r="C9">
        <f>Inputs!$B$2*Inputs!$B$3*B9</f>
        <v/>
      </c>
      <c r="D9">
        <f>C9*(1-Inputs!$B$4)*Inputs!$B$5</f>
        <v/>
      </c>
      <c r="E9">
        <f>D9/Baseline!C9</f>
        <v/>
      </c>
      <c r="F9">
        <f>E9/(Baseline!B9*1000)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2" customWidth="1" min="4" max="4"/>
    <col width="20" customWidth="1" min="5" max="5"/>
    <col width="18" customWidth="1" min="6" max="6"/>
  </cols>
  <sheetData>
    <row r="1">
      <c r="A1" s="1" t="inlineStr">
        <is>
          <t>Year</t>
        </is>
      </c>
      <c r="B1" s="1" t="inlineStr">
        <is>
          <t>Bell weight</t>
        </is>
      </c>
      <c r="C1" s="1" t="inlineStr">
        <is>
          <t>Investment (LCU mn)</t>
        </is>
      </c>
      <c r="D1" s="1" t="inlineStr">
        <is>
          <t>Net demand (LCU mn)</t>
        </is>
      </c>
      <c r="E1" s="1" t="inlineStr">
        <is>
          <t>Real impact (LCU mn)</t>
        </is>
      </c>
      <c r="F1" s="1" t="inlineStr">
        <is>
          <t>GDP impact share</t>
        </is>
      </c>
    </row>
    <row r="2">
      <c r="A2">
        <f>Inputs!A10</f>
        <v/>
      </c>
      <c r="B2">
        <f>Inputs!B10</f>
        <v/>
      </c>
      <c r="C2">
        <f>Inputs!$B$2*Inputs!$B$3*B2</f>
        <v/>
      </c>
      <c r="D2">
        <f>C2*(1-Inputs!$B$4)*Inputs!$B$6</f>
        <v/>
      </c>
      <c r="E2">
        <f>D2/Baseline!C2</f>
        <v/>
      </c>
      <c r="F2">
        <f>E2/(Baseline!B2*1000)</f>
        <v/>
      </c>
    </row>
    <row r="3">
      <c r="A3">
        <f>Inputs!A11</f>
        <v/>
      </c>
      <c r="B3">
        <f>Inputs!B11</f>
        <v/>
      </c>
      <c r="C3">
        <f>Inputs!$B$2*Inputs!$B$3*B3</f>
        <v/>
      </c>
      <c r="D3">
        <f>C3*(1-Inputs!$B$4)*Inputs!$B$6</f>
        <v/>
      </c>
      <c r="E3">
        <f>D3/Baseline!C3</f>
        <v/>
      </c>
      <c r="F3">
        <f>E3/(Baseline!B3*1000)</f>
        <v/>
      </c>
    </row>
    <row r="4">
      <c r="A4">
        <f>Inputs!A12</f>
        <v/>
      </c>
      <c r="B4">
        <f>Inputs!B12</f>
        <v/>
      </c>
      <c r="C4">
        <f>Inputs!$B$2*Inputs!$B$3*B4</f>
        <v/>
      </c>
      <c r="D4">
        <f>C4*(1-Inputs!$B$4)*Inputs!$B$6</f>
        <v/>
      </c>
      <c r="E4">
        <f>D4/Baseline!C4</f>
        <v/>
      </c>
      <c r="F4">
        <f>E4/(Baseline!B4*1000)</f>
        <v/>
      </c>
    </row>
    <row r="5">
      <c r="A5">
        <f>Inputs!A13</f>
        <v/>
      </c>
      <c r="B5">
        <f>Inputs!B13</f>
        <v/>
      </c>
      <c r="C5">
        <f>Inputs!$B$2*Inputs!$B$3*B5</f>
        <v/>
      </c>
      <c r="D5">
        <f>C5*(1-Inputs!$B$4)*Inputs!$B$6</f>
        <v/>
      </c>
      <c r="E5">
        <f>D5/Baseline!C5</f>
        <v/>
      </c>
      <c r="F5">
        <f>E5/(Baseline!B5*1000)</f>
        <v/>
      </c>
    </row>
    <row r="6">
      <c r="A6">
        <f>Inputs!A14</f>
        <v/>
      </c>
      <c r="B6">
        <f>Inputs!B14</f>
        <v/>
      </c>
      <c r="C6">
        <f>Inputs!$B$2*Inputs!$B$3*B6</f>
        <v/>
      </c>
      <c r="D6">
        <f>C6*(1-Inputs!$B$4)*Inputs!$B$6</f>
        <v/>
      </c>
      <c r="E6">
        <f>D6/Baseline!C6</f>
        <v/>
      </c>
      <c r="F6">
        <f>E6/(Baseline!B6*1000)</f>
        <v/>
      </c>
    </row>
    <row r="7">
      <c r="A7">
        <f>Inputs!A15</f>
        <v/>
      </c>
      <c r="B7">
        <f>Inputs!B15</f>
        <v/>
      </c>
      <c r="C7">
        <f>Inputs!$B$2*Inputs!$B$3*B7</f>
        <v/>
      </c>
      <c r="D7">
        <f>C7*(1-Inputs!$B$4)*Inputs!$B$6</f>
        <v/>
      </c>
      <c r="E7">
        <f>D7/Baseline!C7</f>
        <v/>
      </c>
      <c r="F7">
        <f>E7/(Baseline!B7*1000)</f>
        <v/>
      </c>
    </row>
    <row r="8">
      <c r="A8">
        <f>Inputs!A16</f>
        <v/>
      </c>
      <c r="B8">
        <f>Inputs!B16</f>
        <v/>
      </c>
      <c r="C8">
        <f>Inputs!$B$2*Inputs!$B$3*B8</f>
        <v/>
      </c>
      <c r="D8">
        <f>C8*(1-Inputs!$B$4)*Inputs!$B$6</f>
        <v/>
      </c>
      <c r="E8">
        <f>D8/Baseline!C8</f>
        <v/>
      </c>
      <c r="F8">
        <f>E8/(Baseline!B8*1000)</f>
        <v/>
      </c>
    </row>
    <row r="9">
      <c r="A9">
        <f>Inputs!A17</f>
        <v/>
      </c>
      <c r="B9">
        <f>Inputs!B17</f>
        <v/>
      </c>
      <c r="C9">
        <f>Inputs!$B$2*Inputs!$B$3*B9</f>
        <v/>
      </c>
      <c r="D9">
        <f>C9*(1-Inputs!$B$4)*Inputs!$B$6</f>
        <v/>
      </c>
      <c r="E9">
        <f>D9/Baseline!C9</f>
        <v/>
      </c>
      <c r="F9">
        <f>E9/(Baseline!B9*1000)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2" customWidth="1" min="4" max="4"/>
    <col width="20" customWidth="1" min="5" max="5"/>
    <col width="18" customWidth="1" min="6" max="6"/>
  </cols>
  <sheetData>
    <row r="1">
      <c r="A1" s="1" t="inlineStr">
        <is>
          <t>Year</t>
        </is>
      </c>
      <c r="B1" s="1" t="inlineStr">
        <is>
          <t>Bell weight</t>
        </is>
      </c>
      <c r="C1" s="1" t="inlineStr">
        <is>
          <t>Investment (LCU mn)</t>
        </is>
      </c>
      <c r="D1" s="1" t="inlineStr">
        <is>
          <t>Net demand (LCU mn)</t>
        </is>
      </c>
      <c r="E1" s="1" t="inlineStr">
        <is>
          <t>Real impact (LCU mn)</t>
        </is>
      </c>
      <c r="F1" s="1" t="inlineStr">
        <is>
          <t>GDP impact share</t>
        </is>
      </c>
    </row>
    <row r="2">
      <c r="A2">
        <f>Inputs!A10</f>
        <v/>
      </c>
      <c r="B2">
        <f>Inputs!B10</f>
        <v/>
      </c>
      <c r="C2">
        <f>Inputs!$B$2*Inputs!$B$3*B2</f>
        <v/>
      </c>
      <c r="D2">
        <f>C2*(1-Inputs!$B$7)*Inputs!$B$5</f>
        <v/>
      </c>
      <c r="E2">
        <f>D2/Baseline!C2</f>
        <v/>
      </c>
      <c r="F2">
        <f>E2/(Baseline!B2*1000)</f>
        <v/>
      </c>
    </row>
    <row r="3">
      <c r="A3">
        <f>Inputs!A11</f>
        <v/>
      </c>
      <c r="B3">
        <f>Inputs!B11</f>
        <v/>
      </c>
      <c r="C3">
        <f>Inputs!$B$2*Inputs!$B$3*B3</f>
        <v/>
      </c>
      <c r="D3">
        <f>C3*(1-Inputs!$B$7)*Inputs!$B$5</f>
        <v/>
      </c>
      <c r="E3">
        <f>D3/Baseline!C3</f>
        <v/>
      </c>
      <c r="F3">
        <f>E3/(Baseline!B3*1000)</f>
        <v/>
      </c>
    </row>
    <row r="4">
      <c r="A4">
        <f>Inputs!A12</f>
        <v/>
      </c>
      <c r="B4">
        <f>Inputs!B12</f>
        <v/>
      </c>
      <c r="C4">
        <f>Inputs!$B$2*Inputs!$B$3*B4</f>
        <v/>
      </c>
      <c r="D4">
        <f>C4*(1-Inputs!$B$7)*Inputs!$B$5</f>
        <v/>
      </c>
      <c r="E4">
        <f>D4/Baseline!C4</f>
        <v/>
      </c>
      <c r="F4">
        <f>E4/(Baseline!B4*1000)</f>
        <v/>
      </c>
    </row>
    <row r="5">
      <c r="A5">
        <f>Inputs!A13</f>
        <v/>
      </c>
      <c r="B5">
        <f>Inputs!B13</f>
        <v/>
      </c>
      <c r="C5">
        <f>Inputs!$B$2*Inputs!$B$3*B5</f>
        <v/>
      </c>
      <c r="D5">
        <f>C5*(1-Inputs!$B$7)*Inputs!$B$5</f>
        <v/>
      </c>
      <c r="E5">
        <f>D5/Baseline!C5</f>
        <v/>
      </c>
      <c r="F5">
        <f>E5/(Baseline!B5*1000)</f>
        <v/>
      </c>
    </row>
    <row r="6">
      <c r="A6">
        <f>Inputs!A14</f>
        <v/>
      </c>
      <c r="B6">
        <f>Inputs!B14</f>
        <v/>
      </c>
      <c r="C6">
        <f>Inputs!$B$2*Inputs!$B$3*B6</f>
        <v/>
      </c>
      <c r="D6">
        <f>C6*(1-Inputs!$B$7)*Inputs!$B$5</f>
        <v/>
      </c>
      <c r="E6">
        <f>D6/Baseline!C6</f>
        <v/>
      </c>
      <c r="F6">
        <f>E6/(Baseline!B6*1000)</f>
        <v/>
      </c>
    </row>
    <row r="7">
      <c r="A7">
        <f>Inputs!A15</f>
        <v/>
      </c>
      <c r="B7">
        <f>Inputs!B15</f>
        <v/>
      </c>
      <c r="C7">
        <f>Inputs!$B$2*Inputs!$B$3*B7</f>
        <v/>
      </c>
      <c r="D7">
        <f>C7*(1-Inputs!$B$7)*Inputs!$B$5</f>
        <v/>
      </c>
      <c r="E7">
        <f>D7/Baseline!C7</f>
        <v/>
      </c>
      <c r="F7">
        <f>E7/(Baseline!B7*1000)</f>
        <v/>
      </c>
    </row>
    <row r="8">
      <c r="A8">
        <f>Inputs!A16</f>
        <v/>
      </c>
      <c r="B8">
        <f>Inputs!B16</f>
        <v/>
      </c>
      <c r="C8">
        <f>Inputs!$B$2*Inputs!$B$3*B8</f>
        <v/>
      </c>
      <c r="D8">
        <f>C8*(1-Inputs!$B$7)*Inputs!$B$5</f>
        <v/>
      </c>
      <c r="E8">
        <f>D8/Baseline!C8</f>
        <v/>
      </c>
      <c r="F8">
        <f>E8/(Baseline!B8*1000)</f>
        <v/>
      </c>
    </row>
    <row r="9">
      <c r="A9">
        <f>Inputs!A17</f>
        <v/>
      </c>
      <c r="B9">
        <f>Inputs!B17</f>
        <v/>
      </c>
      <c r="C9">
        <f>Inputs!$B$2*Inputs!$B$3*B9</f>
        <v/>
      </c>
      <c r="D9">
        <f>C9*(1-Inputs!$B$7)*Inputs!$B$5</f>
        <v/>
      </c>
      <c r="E9">
        <f>D9/Baseline!C9</f>
        <v/>
      </c>
      <c r="F9">
        <f>E9/(Baseline!B9*1000)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Metric</t>
        </is>
      </c>
      <c r="B1" s="1" t="inlineStr">
        <is>
          <t>Base</t>
        </is>
      </c>
      <c r="C1" s="1" t="inlineStr">
        <is>
          <t>Higher Multiplier</t>
        </is>
      </c>
      <c r="D1" s="1" t="inlineStr">
        <is>
          <t>Higher Import</t>
        </is>
      </c>
    </row>
    <row r="2">
      <c r="A2" t="inlineStr">
        <is>
          <t>Total local investment</t>
        </is>
      </c>
      <c r="B2">
        <f>SUM(Scenario_Base!C2:C9)</f>
        <v/>
      </c>
      <c r="C2">
        <f>SUM(Scenario_HigherMultiplier!C2:C9)</f>
        <v/>
      </c>
      <c r="D2">
        <f>SUM(Scenario_HigherImport!C2:C9)</f>
        <v/>
      </c>
    </row>
    <row r="3">
      <c r="A3" t="inlineStr">
        <is>
          <t>Total net demand</t>
        </is>
      </c>
      <c r="B3">
        <f>SUM(Scenario_Base!D2:D9)</f>
        <v/>
      </c>
      <c r="C3">
        <f>SUM(Scenario_HigherMultiplier!D2:D9)</f>
        <v/>
      </c>
      <c r="D3">
        <f>SUM(Scenario_HigherImport!D2:D9)</f>
        <v/>
      </c>
    </row>
    <row r="4">
      <c r="A4" t="inlineStr">
        <is>
          <t>Peak real impact</t>
        </is>
      </c>
      <c r="B4">
        <f>MAX(Scenario_Base!E2:E9)</f>
        <v/>
      </c>
      <c r="C4">
        <f>MAX(Scenario_HigherMultiplier!E2:E9)</f>
        <v/>
      </c>
      <c r="D4">
        <f>MAX(Scenario_HigherImport!E2:E9)</f>
        <v/>
      </c>
    </row>
    <row r="5">
      <c r="A5" t="inlineStr">
        <is>
          <t>Peak GDP impact share</t>
        </is>
      </c>
      <c r="B5">
        <f>MAX(Scenario_Base!F2:F9)</f>
        <v/>
      </c>
      <c r="C5">
        <f>MAX(Scenario_HigherMultiplier!F2:F9)</f>
        <v/>
      </c>
      <c r="D5">
        <f>MAX(Scenario_HigherImport!F2:F9)</f>
        <v/>
      </c>
    </row>
    <row r="6">
      <c r="A6" t="inlineStr">
        <is>
          <t>Peak year</t>
        </is>
      </c>
      <c r="B6">
        <f>INDEX(Scenario_Base!A2:A9,MATCH(MAX(Scenario_Base!F2:F9),Scenario_Base!F2:F9,0))</f>
        <v/>
      </c>
      <c r="C6">
        <f>INDEX(Scenario_HigherMultiplier!A2:A9,MATCH(MAX(Scenario_HigherMultiplier!F2:F9),Scenario_HigherMultiplier!F2:F9,0))</f>
        <v/>
      </c>
      <c r="D6">
        <f>INDEX(Scenario_HigherImport!A2:A9,MATCH(MAX(Scenario_HigherImport!F2:F9),Scenario_HigherImport!F2:F9,0))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2026-03-23T15:53:58Z</dcterms:created>
  <dcterms:modified xsi:type="dcterms:W3CDTF">2026-03-23T15:53:58Z</dcterms:modified>
</cp:coreProperties>
</file>