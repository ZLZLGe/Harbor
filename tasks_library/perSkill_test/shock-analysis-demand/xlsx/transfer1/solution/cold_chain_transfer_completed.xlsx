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Sites" sheetId="2" state="visible" r:id="rId2"/>
    <sheet name="Config" sheetId="3" state="visible" r:id="rId3"/>
    <sheet name="Capacity_Mode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North</t>
        </is>
      </c>
      <c r="C1" s="1" t="inlineStr">
        <is>
          <t>Central</t>
        </is>
      </c>
      <c r="D1" s="1" t="inlineStr">
        <is>
          <t>South</t>
        </is>
      </c>
    </row>
    <row r="2">
      <c r="A2" t="inlineStr">
        <is>
          <t>Jan</t>
        </is>
      </c>
      <c r="B2" t="n">
        <v>680</v>
      </c>
      <c r="C2" t="n">
        <v>540</v>
      </c>
      <c r="D2" t="n">
        <v>430</v>
      </c>
    </row>
    <row r="3">
      <c r="A3" t="inlineStr">
        <is>
          <t>Feb</t>
        </is>
      </c>
      <c r="B3" t="n">
        <v>720</v>
      </c>
      <c r="C3" t="n">
        <v>560</v>
      </c>
      <c r="D3" t="n">
        <v>450</v>
      </c>
    </row>
    <row r="4">
      <c r="A4" t="inlineStr">
        <is>
          <t>Mar</t>
        </is>
      </c>
      <c r="B4" t="n">
        <v>760</v>
      </c>
      <c r="C4" t="n">
        <v>590</v>
      </c>
      <c r="D4" t="n">
        <v>460</v>
      </c>
    </row>
    <row r="5">
      <c r="A5" t="inlineStr">
        <is>
          <t>Apr</t>
        </is>
      </c>
      <c r="B5" t="n">
        <v>810</v>
      </c>
      <c r="C5" t="n">
        <v>610</v>
      </c>
      <c r="D5" t="n">
        <v>500</v>
      </c>
    </row>
    <row r="6">
      <c r="A6" t="inlineStr">
        <is>
          <t>May</t>
        </is>
      </c>
      <c r="B6" t="n">
        <v>790</v>
      </c>
      <c r="C6" t="n">
        <v>630</v>
      </c>
      <c r="D6" t="n">
        <v>520</v>
      </c>
    </row>
    <row r="7">
      <c r="A7" t="inlineStr">
        <is>
          <t>Jun</t>
        </is>
      </c>
      <c r="B7" t="n">
        <v>770</v>
      </c>
      <c r="C7" t="n">
        <v>650</v>
      </c>
      <c r="D7" t="n">
        <v>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Region</t>
        </is>
      </c>
      <c r="B1" s="1" t="inlineStr">
        <is>
          <t>Current racks</t>
        </is>
      </c>
    </row>
    <row r="2">
      <c r="A2" t="inlineStr">
        <is>
          <t>North</t>
        </is>
      </c>
      <c r="B2" t="n">
        <v>11</v>
      </c>
    </row>
    <row r="3">
      <c r="A3" t="inlineStr">
        <is>
          <t>Central</t>
        </is>
      </c>
      <c r="B3" t="n">
        <v>10</v>
      </c>
    </row>
    <row r="4">
      <c r="A4" t="inlineStr">
        <is>
          <t>South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Turns per month</t>
        </is>
      </c>
      <c r="B2" t="n">
        <v>4</v>
      </c>
    </row>
    <row r="3">
      <c r="A3" t="inlineStr">
        <is>
          <t>Buffer pct</t>
        </is>
      </c>
      <c r="B3" t="n">
        <v>0.12</v>
      </c>
    </row>
    <row r="4">
      <c r="A4" t="inlineStr">
        <is>
          <t>Positions per rack</t>
        </is>
      </c>
      <c r="B4" t="n">
        <v>48</v>
      </c>
    </row>
    <row r="5">
      <c r="A5" t="inlineStr">
        <is>
          <t>Build cost per rack</t>
        </is>
      </c>
      <c r="B5" t="n">
        <v>1850</v>
      </c>
    </row>
    <row r="6">
      <c r="A6" t="inlineStr">
        <is>
          <t>Automation premium</t>
        </is>
      </c>
      <c r="B6" t="n">
        <v>0.18</v>
      </c>
    </row>
    <row r="7">
      <c r="A7" t="inlineStr">
        <is>
          <t>Outsource cost per pallet</t>
        </is>
      </c>
      <c r="B7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Region</t>
        </is>
      </c>
      <c r="B1" s="1" t="inlineStr">
        <is>
          <t>Avg monthly pallets</t>
        </is>
      </c>
      <c r="C1" s="1" t="inlineStr">
        <is>
          <t>Required positions</t>
        </is>
      </c>
      <c r="D1" s="1" t="inlineStr">
        <is>
          <t>Current racks</t>
        </is>
      </c>
      <c r="E1" s="1" t="inlineStr">
        <is>
          <t>Required racks</t>
        </is>
      </c>
      <c r="F1" s="1" t="inlineStr">
        <is>
          <t>Added racks</t>
        </is>
      </c>
      <c r="G1" s="1" t="inlineStr">
        <is>
          <t>Base capex</t>
        </is>
      </c>
      <c r="H1" s="1" t="inlineStr">
        <is>
          <t>Automated capex</t>
        </is>
      </c>
      <c r="I1" s="1" t="inlineStr">
        <is>
          <t>Monthly shortfall pallets</t>
        </is>
      </c>
      <c r="J1" s="1" t="inlineStr">
        <is>
          <t>Monthly outsource cost</t>
        </is>
      </c>
    </row>
    <row r="2">
      <c r="A2" t="inlineStr">
        <is>
          <t>North</t>
        </is>
      </c>
      <c r="B2">
        <f>AVERAGE(Demand!B2:B7)</f>
        <v/>
      </c>
      <c r="C2">
        <f>B2/Config!$B$2*(1+Config!$B$3)</f>
        <v/>
      </c>
      <c r="D2">
        <f>Sites!B2</f>
        <v/>
      </c>
      <c r="E2">
        <f>ROUNDUP(C2/Config!$B$4,0)</f>
        <v/>
      </c>
      <c r="F2">
        <f>MAX(E2-D2,0)</f>
        <v/>
      </c>
      <c r="G2">
        <f>F2*Config!$B$5</f>
        <v/>
      </c>
      <c r="H2">
        <f>G2*(1+Config!$B$6)</f>
        <v/>
      </c>
      <c r="I2">
        <f>MAX(C2-D2*Config!$B$4,0)</f>
        <v/>
      </c>
      <c r="J2">
        <f>I2*Config!$B$7</f>
        <v/>
      </c>
    </row>
    <row r="3">
      <c r="A3" t="inlineStr">
        <is>
          <t>Central</t>
        </is>
      </c>
      <c r="B3">
        <f>AVERAGE(Demand!C2:C7)</f>
        <v/>
      </c>
      <c r="C3">
        <f>B3/Config!$B$2*(1+Config!$B$3)</f>
        <v/>
      </c>
      <c r="D3">
        <f>Sites!B3</f>
        <v/>
      </c>
      <c r="E3">
        <f>ROUNDUP(C3/Config!$B$4,0)</f>
        <v/>
      </c>
      <c r="F3">
        <f>MAX(E3-D3,0)</f>
        <v/>
      </c>
      <c r="G3">
        <f>F3*Config!$B$5</f>
        <v/>
      </c>
      <c r="H3">
        <f>G3*(1+Config!$B$6)</f>
        <v/>
      </c>
      <c r="I3">
        <f>MAX(C3-D3*Config!$B$4,0)</f>
        <v/>
      </c>
      <c r="J3">
        <f>I3*Config!$B$7</f>
        <v/>
      </c>
    </row>
    <row r="4">
      <c r="A4" t="inlineStr">
        <is>
          <t>South</t>
        </is>
      </c>
      <c r="B4">
        <f>AVERAGE(Demand!D2:D7)</f>
        <v/>
      </c>
      <c r="C4">
        <f>B4/Config!$B$2*(1+Config!$B$3)</f>
        <v/>
      </c>
      <c r="D4">
        <f>Sites!B4</f>
        <v/>
      </c>
      <c r="E4">
        <f>ROUNDUP(C4/Config!$B$4,0)</f>
        <v/>
      </c>
      <c r="F4">
        <f>MAX(E4-D4,0)</f>
        <v/>
      </c>
      <c r="G4">
        <f>F4*Config!$B$5</f>
        <v/>
      </c>
      <c r="H4">
        <f>G4*(1+Config!$B$6)</f>
        <v/>
      </c>
      <c r="I4">
        <f>MAX(C4-D4*Config!$B$4,0)</f>
        <v/>
      </c>
      <c r="J4">
        <f>I4*Config!$B$7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base capex</t>
        </is>
      </c>
      <c r="B2">
        <f>SUM(Capacity_Model!G2:G4)</f>
        <v/>
      </c>
    </row>
    <row r="3">
      <c r="A3" t="inlineStr">
        <is>
          <t>Total automated capex</t>
        </is>
      </c>
      <c r="B3">
        <f>SUM(Capacity_Model!H2:H4)</f>
        <v/>
      </c>
    </row>
    <row r="4">
      <c r="A4" t="inlineStr">
        <is>
          <t>Total monthly outsource cost</t>
        </is>
      </c>
      <c r="B4">
        <f>SUM(Capacity_Model!J2:J4)</f>
        <v/>
      </c>
    </row>
    <row r="5">
      <c r="A5" t="inlineStr">
        <is>
          <t>Highest required positions region</t>
        </is>
      </c>
      <c r="B5">
        <f>INDEX(Capacity_Model!A2:A4,MATCH(MAX(Capacity_Model!C2:C4),Capacity_Model!C2:C4,0))</f>
        <v/>
      </c>
    </row>
    <row r="6">
      <c r="A6" t="inlineStr">
        <is>
          <t>Total added racks</t>
        </is>
      </c>
      <c r="B6">
        <f>SUM(Capacity_Model!F2:F4)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2026-03-23T15:53:58Z</dcterms:created>
  <dcterms:modified xsi:type="dcterms:W3CDTF">2026-03-23T15:53:58Z</dcterms:modified>
</cp:coreProperties>
</file>