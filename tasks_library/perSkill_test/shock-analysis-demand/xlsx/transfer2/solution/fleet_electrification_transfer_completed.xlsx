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" sheetId="1" state="visible" r:id="rId1"/>
    <sheet name="Tariffs" sheetId="2" state="visible" r:id="rId2"/>
    <sheet name="Deploymen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Route</t>
        </is>
      </c>
      <c r="B1" s="1" t="inlineStr">
        <is>
          <t>Buses</t>
        </is>
      </c>
      <c r="C1" s="1" t="inlineStr">
        <is>
          <t>Daily km</t>
        </is>
      </c>
      <c r="D1" s="1" t="inlineStr">
        <is>
          <t>Diesel L/100km</t>
        </is>
      </c>
      <c r="E1" s="1" t="inlineStr">
        <is>
          <t>Electric kWh/km</t>
        </is>
      </c>
    </row>
    <row r="2">
      <c r="A2" t="inlineStr">
        <is>
          <t>Route A</t>
        </is>
      </c>
      <c r="B2" t="n">
        <v>12</v>
      </c>
      <c r="C2" t="n">
        <v>240</v>
      </c>
      <c r="D2" t="n">
        <v>34</v>
      </c>
      <c r="E2" t="n">
        <v>1.28</v>
      </c>
    </row>
    <row r="3">
      <c r="A3" t="inlineStr">
        <is>
          <t>Route B</t>
        </is>
      </c>
      <c r="B3" t="n">
        <v>9</v>
      </c>
      <c r="C3" t="n">
        <v>180</v>
      </c>
      <c r="D3" t="n">
        <v>31</v>
      </c>
      <c r="E3" t="n">
        <v>1.1</v>
      </c>
    </row>
    <row r="4">
      <c r="A4" t="inlineStr">
        <is>
          <t>Route C</t>
        </is>
      </c>
      <c r="B4" t="n">
        <v>7</v>
      </c>
      <c r="C4" t="n">
        <v>210</v>
      </c>
      <c r="D4" t="n">
        <v>29</v>
      </c>
      <c r="E4" t="n">
        <v>1.05</v>
      </c>
    </row>
    <row r="5">
      <c r="A5" t="inlineStr">
        <is>
          <t>Route D</t>
        </is>
      </c>
      <c r="B5" t="n">
        <v>5</v>
      </c>
      <c r="C5" t="n">
        <v>160</v>
      </c>
      <c r="D5" t="n">
        <v>27</v>
      </c>
      <c r="E5" t="n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Diesel price</t>
        </is>
      </c>
      <c r="B2" t="n">
        <v>1.42</v>
      </c>
    </row>
    <row r="3">
      <c r="A3" t="inlineStr">
        <is>
          <t>Electricity price</t>
        </is>
      </c>
      <c r="B3" t="n">
        <v>0.18</v>
      </c>
    </row>
    <row r="4">
      <c r="A4" t="inlineStr">
        <is>
          <t>Charger cost</t>
        </is>
      </c>
      <c r="B4" t="n">
        <v>18500</v>
      </c>
    </row>
    <row r="5">
      <c r="A5" t="inlineStr">
        <is>
          <t>Bus premium</t>
        </is>
      </c>
      <c r="B5" t="n">
        <v>132000</v>
      </c>
    </row>
    <row r="6">
      <c r="A6" t="inlineStr">
        <is>
          <t>Diesel CO2 kg/L</t>
        </is>
      </c>
      <c r="B6" t="n">
        <v>2.68</v>
      </c>
    </row>
    <row r="7">
      <c r="A7" t="inlineStr">
        <is>
          <t>Grid CO2 kg/kWh</t>
        </is>
      </c>
      <c r="B7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4" customWidth="1" min="9" max="9"/>
  </cols>
  <sheetData>
    <row r="1">
      <c r="A1" s="1" t="inlineStr">
        <is>
          <t>Route</t>
        </is>
      </c>
      <c r="B1" s="1" t="inlineStr">
        <is>
          <t>Annual km</t>
        </is>
      </c>
      <c r="C1" s="1" t="inlineStr">
        <is>
          <t>Annual diesel cost</t>
        </is>
      </c>
      <c r="D1" s="1" t="inlineStr">
        <is>
          <t>Annual electric cost</t>
        </is>
      </c>
      <c r="E1" s="1" t="inlineStr">
        <is>
          <t>Annual savings</t>
        </is>
      </c>
      <c r="F1" s="1" t="inlineStr">
        <is>
          <t>Chargers needed</t>
        </is>
      </c>
      <c r="G1" s="1" t="inlineStr">
        <is>
          <t>Charger capex</t>
        </is>
      </c>
      <c r="H1" s="1" t="inlineStr">
        <is>
          <t>Bus premium capex</t>
        </is>
      </c>
      <c r="I1" s="1" t="inlineStr">
        <is>
          <t>Annual emissions reduction (t)</t>
        </is>
      </c>
    </row>
    <row r="2">
      <c r="A2">
        <f>Fleet!A2</f>
        <v/>
      </c>
      <c r="B2">
        <f>Fleet!C2*365*Fleet!B2</f>
        <v/>
      </c>
      <c r="C2">
        <f>B2*Fleet!D2/100*Tariffs!$B$2</f>
        <v/>
      </c>
      <c r="D2">
        <f>B2*Fleet!E2*Tariffs!$B$3</f>
        <v/>
      </c>
      <c r="E2">
        <f>C2-D2</f>
        <v/>
      </c>
      <c r="F2">
        <f>ROUNDUP(Fleet!B2/4,0)</f>
        <v/>
      </c>
      <c r="G2">
        <f>F2*Tariffs!$B$4</f>
        <v/>
      </c>
      <c r="H2">
        <f>Fleet!B2*Tariffs!$B$5</f>
        <v/>
      </c>
      <c r="I2">
        <f>((B2*Fleet!D2/100*Tariffs!$B$6)-(B2*Fleet!E2*Tariffs!$B$7))/1000</f>
        <v/>
      </c>
    </row>
    <row r="3">
      <c r="A3">
        <f>Fleet!A3</f>
        <v/>
      </c>
      <c r="B3">
        <f>Fleet!C3*365*Fleet!B3</f>
        <v/>
      </c>
      <c r="C3">
        <f>B3*Fleet!D3/100*Tariffs!$B$2</f>
        <v/>
      </c>
      <c r="D3">
        <f>B3*Fleet!E3*Tariffs!$B$3</f>
        <v/>
      </c>
      <c r="E3">
        <f>C3-D3</f>
        <v/>
      </c>
      <c r="F3">
        <f>ROUNDUP(Fleet!B3/4,0)</f>
        <v/>
      </c>
      <c r="G3">
        <f>F3*Tariffs!$B$4</f>
        <v/>
      </c>
      <c r="H3">
        <f>Fleet!B3*Tariffs!$B$5</f>
        <v/>
      </c>
      <c r="I3">
        <f>((B3*Fleet!D3/100*Tariffs!$B$6)-(B3*Fleet!E3*Tariffs!$B$7))/1000</f>
        <v/>
      </c>
    </row>
    <row r="4">
      <c r="A4">
        <f>Fleet!A4</f>
        <v/>
      </c>
      <c r="B4">
        <f>Fleet!C4*365*Fleet!B4</f>
        <v/>
      </c>
      <c r="C4">
        <f>B4*Fleet!D4/100*Tariffs!$B$2</f>
        <v/>
      </c>
      <c r="D4">
        <f>B4*Fleet!E4*Tariffs!$B$3</f>
        <v/>
      </c>
      <c r="E4">
        <f>C4-D4</f>
        <v/>
      </c>
      <c r="F4">
        <f>ROUNDUP(Fleet!B4/4,0)</f>
        <v/>
      </c>
      <c r="G4">
        <f>F4*Tariffs!$B$4</f>
        <v/>
      </c>
      <c r="H4">
        <f>Fleet!B4*Tariffs!$B$5</f>
        <v/>
      </c>
      <c r="I4">
        <f>((B4*Fleet!D4/100*Tariffs!$B$6)-(B4*Fleet!E4*Tariffs!$B$7))/1000</f>
        <v/>
      </c>
    </row>
    <row r="5">
      <c r="A5">
        <f>Fleet!A5</f>
        <v/>
      </c>
      <c r="B5">
        <f>Fleet!C5*365*Fleet!B5</f>
        <v/>
      </c>
      <c r="C5">
        <f>B5*Fleet!D5/100*Tariffs!$B$2</f>
        <v/>
      </c>
      <c r="D5">
        <f>B5*Fleet!E5*Tariffs!$B$3</f>
        <v/>
      </c>
      <c r="E5">
        <f>C5-D5</f>
        <v/>
      </c>
      <c r="F5">
        <f>ROUNDUP(Fleet!B5/4,0)</f>
        <v/>
      </c>
      <c r="G5">
        <f>F5*Tariffs!$B$4</f>
        <v/>
      </c>
      <c r="H5">
        <f>Fleet!B5*Tariffs!$B$5</f>
        <v/>
      </c>
      <c r="I5">
        <f>((B5*Fleet!D5/100*Tariffs!$B$6)-(B5*Fleet!E5*Tariffs!$B$7))/1000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annual savings</t>
        </is>
      </c>
      <c r="B2">
        <f>SUM(Deployment!E2:E5)</f>
        <v/>
      </c>
    </row>
    <row r="3">
      <c r="A3" t="inlineStr">
        <is>
          <t>Total chargers</t>
        </is>
      </c>
      <c r="B3">
        <f>SUM(Deployment!F2:F5)</f>
        <v/>
      </c>
    </row>
    <row r="4">
      <c r="A4" t="inlineStr">
        <is>
          <t>Total capex</t>
        </is>
      </c>
      <c r="B4">
        <f>SUM(Deployment!G2:G5)+SUM(Deployment!H2:H5)</f>
        <v/>
      </c>
    </row>
    <row r="5">
      <c r="A5" t="inlineStr">
        <is>
          <t>Payback years</t>
        </is>
      </c>
      <c r="B5">
        <f>B4/B2</f>
        <v/>
      </c>
    </row>
    <row r="6">
      <c r="A6" t="inlineStr">
        <is>
          <t>Top savings route</t>
        </is>
      </c>
      <c r="B6">
        <f>INDEX(Deployment!A2:A5,MATCH(MAX(Deployment!E2:E5),Deployment!E2:E5,0))</f>
        <v/>
      </c>
    </row>
    <row r="7">
      <c r="A7" t="inlineStr">
        <is>
          <t>Total emissions reduction</t>
        </is>
      </c>
      <c r="B7">
        <f>SUM(Deployment!I2:I5)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2026-03-23T15:53:59Z</dcterms:created>
  <dcterms:modified xsi:type="dcterms:W3CDTF">2026-03-23T15:53:59Z</dcterms:modified>
</cp:coreProperties>
</file>