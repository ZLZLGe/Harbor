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Rates" sheetId="2" state="visible" r:id="rId2"/>
    <sheet name="Staffing_Model" sheetId="3" state="visible" r:id="rId3"/>
    <sheet name="Scenario_Compar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4" customWidth="1" min="4" max="4"/>
  </cols>
  <sheetData>
    <row r="1">
      <c r="A1" s="1" t="inlineStr">
        <is>
          <t>Session</t>
        </is>
      </c>
      <c r="B1" s="1" t="inlineStr">
        <is>
          <t>Forecast attendees</t>
        </is>
      </c>
      <c r="C1" s="1" t="inlineStr">
        <is>
          <t>Hours</t>
        </is>
      </c>
      <c r="D1" s="1" t="inlineStr">
        <is>
          <t>Premium share</t>
        </is>
      </c>
    </row>
    <row r="2">
      <c r="A2" t="inlineStr">
        <is>
          <t>Keynote</t>
        </is>
      </c>
      <c r="B2" t="n">
        <v>420</v>
      </c>
      <c r="C2" t="n">
        <v>2.5</v>
      </c>
      <c r="D2" t="n">
        <v>0.18</v>
      </c>
    </row>
    <row r="3">
      <c r="A3" t="inlineStr">
        <is>
          <t>Breakout A</t>
        </is>
      </c>
      <c r="B3" t="n">
        <v>160</v>
      </c>
      <c r="C3" t="n">
        <v>1.5</v>
      </c>
      <c r="D3" t="n">
        <v>0.1</v>
      </c>
    </row>
    <row r="4">
      <c r="A4" t="inlineStr">
        <is>
          <t>Breakout B</t>
        </is>
      </c>
      <c r="B4" t="n">
        <v>190</v>
      </c>
      <c r="C4" t="n">
        <v>1.5</v>
      </c>
      <c r="D4" t="n">
        <v>0.12</v>
      </c>
    </row>
    <row r="5">
      <c r="A5" t="inlineStr">
        <is>
          <t>Expo Floor</t>
        </is>
      </c>
      <c r="B5" t="n">
        <v>510</v>
      </c>
      <c r="C5" t="n">
        <v>4</v>
      </c>
      <c r="D5" t="n">
        <v>0.22</v>
      </c>
    </row>
    <row r="6">
      <c r="A6" t="inlineStr">
        <is>
          <t>Closing Panel</t>
        </is>
      </c>
      <c r="B6" t="n">
        <v>360</v>
      </c>
      <c r="C6" t="n">
        <v>2</v>
      </c>
      <c r="D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Ushers per 120 attendees</t>
        </is>
      </c>
      <c r="B2" t="n">
        <v>1</v>
      </c>
    </row>
    <row r="3">
      <c r="A3" t="inlineStr">
        <is>
          <t>Registration per 180 attendees</t>
        </is>
      </c>
      <c r="B3" t="n">
        <v>1</v>
      </c>
    </row>
    <row r="4">
      <c r="A4" t="inlineStr">
        <is>
          <t>Support per 250 attendees</t>
        </is>
      </c>
      <c r="B4" t="n">
        <v>1</v>
      </c>
    </row>
    <row r="5">
      <c r="A5" t="inlineStr">
        <is>
          <t>Supervisor ratio</t>
        </is>
      </c>
      <c r="B5" t="n">
        <v>0.15</v>
      </c>
    </row>
    <row r="6">
      <c r="A6" t="inlineStr">
        <is>
          <t>Usher wage</t>
        </is>
      </c>
      <c r="B6" t="n">
        <v>22</v>
      </c>
    </row>
    <row r="7">
      <c r="A7" t="inlineStr">
        <is>
          <t>Registration wage</t>
        </is>
      </c>
      <c r="B7" t="n">
        <v>24</v>
      </c>
    </row>
    <row r="8">
      <c r="A8" t="inlineStr">
        <is>
          <t>Support wage</t>
        </is>
      </c>
      <c r="B8" t="n">
        <v>26</v>
      </c>
    </row>
    <row r="9">
      <c r="A9" t="inlineStr">
        <is>
          <t>Supervisor wage</t>
        </is>
      </c>
      <c r="B9" t="n">
        <v>35</v>
      </c>
    </row>
    <row r="10">
      <c r="A10" t="inlineStr">
        <is>
          <t>Premium multiplier</t>
        </is>
      </c>
      <c r="B10" t="n">
        <v>1.15</v>
      </c>
    </row>
    <row r="11">
      <c r="A11" t="inlineStr">
        <is>
          <t>Surge multiplier</t>
        </is>
      </c>
      <c r="B11" t="n">
        <v>1.3</v>
      </c>
    </row>
    <row r="12">
      <c r="A12" t="inlineStr">
        <is>
          <t>Sponsorship revenue</t>
        </is>
      </c>
      <c r="B12" t="n">
        <v>185000</v>
      </c>
    </row>
    <row r="13">
      <c r="A13" t="inlineStr">
        <is>
          <t>Ticket price</t>
        </is>
      </c>
      <c r="B13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0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Session</t>
        </is>
      </c>
      <c r="B1" s="1" t="inlineStr">
        <is>
          <t>Attendees</t>
        </is>
      </c>
      <c r="C1" s="1" t="inlineStr">
        <is>
          <t>Ushers</t>
        </is>
      </c>
      <c r="D1" s="1" t="inlineStr">
        <is>
          <t>Registration</t>
        </is>
      </c>
      <c r="E1" s="1" t="inlineStr">
        <is>
          <t>Support</t>
        </is>
      </c>
      <c r="F1" s="1" t="inlineStr">
        <is>
          <t>Supervisors</t>
        </is>
      </c>
      <c r="G1" s="1" t="inlineStr">
        <is>
          <t>Labor hours</t>
        </is>
      </c>
      <c r="H1" s="1" t="inlineStr">
        <is>
          <t>Labor cost</t>
        </is>
      </c>
      <c r="I1" s="1" t="inlineStr">
        <is>
          <t>Premium attendees</t>
        </is>
      </c>
    </row>
    <row r="2">
      <c r="A2">
        <f>Sessions!A2</f>
        <v/>
      </c>
      <c r="B2">
        <f>Sessions!B2</f>
        <v/>
      </c>
      <c r="C2">
        <f>ROUNDUP(B2/120*Rates!$B$2,0)</f>
        <v/>
      </c>
      <c r="D2">
        <f>ROUNDUP(B2/180*Rates!$B$3,0)</f>
        <v/>
      </c>
      <c r="E2">
        <f>ROUNDUP(B2/250*Rates!$B$4,0)</f>
        <v/>
      </c>
      <c r="F2">
        <f>ROUNDUP((C2+D2+E2)*Rates!$B$5,0)</f>
        <v/>
      </c>
      <c r="G2">
        <f>(C2+D2+E2+F2)*Sessions!C2</f>
        <v/>
      </c>
      <c r="H2">
        <f>Sessions!C2*(C2*Rates!$B$6+D2*Rates!$B$7+E2*Rates!$B$8+F2*Rates!$B$9)</f>
        <v/>
      </c>
      <c r="I2">
        <f>B2*Sessions!D2</f>
        <v/>
      </c>
    </row>
    <row r="3">
      <c r="A3">
        <f>Sessions!A3</f>
        <v/>
      </c>
      <c r="B3">
        <f>Sessions!B3</f>
        <v/>
      </c>
      <c r="C3">
        <f>ROUNDUP(B3/120*Rates!$B$2,0)</f>
        <v/>
      </c>
      <c r="D3">
        <f>ROUNDUP(B3/180*Rates!$B$3,0)</f>
        <v/>
      </c>
      <c r="E3">
        <f>ROUNDUP(B3/250*Rates!$B$4,0)</f>
        <v/>
      </c>
      <c r="F3">
        <f>ROUNDUP((C3+D3+E3)*Rates!$B$5,0)</f>
        <v/>
      </c>
      <c r="G3">
        <f>(C3+D3+E3+F3)*Sessions!C3</f>
        <v/>
      </c>
      <c r="H3">
        <f>Sessions!C3*(C3*Rates!$B$6+D3*Rates!$B$7+E3*Rates!$B$8+F3*Rates!$B$9)</f>
        <v/>
      </c>
      <c r="I3">
        <f>B3*Sessions!D3</f>
        <v/>
      </c>
    </row>
    <row r="4">
      <c r="A4">
        <f>Sessions!A4</f>
        <v/>
      </c>
      <c r="B4">
        <f>Sessions!B4</f>
        <v/>
      </c>
      <c r="C4">
        <f>ROUNDUP(B4/120*Rates!$B$2,0)</f>
        <v/>
      </c>
      <c r="D4">
        <f>ROUNDUP(B4/180*Rates!$B$3,0)</f>
        <v/>
      </c>
      <c r="E4">
        <f>ROUNDUP(B4/250*Rates!$B$4,0)</f>
        <v/>
      </c>
      <c r="F4">
        <f>ROUNDUP((C4+D4+E4)*Rates!$B$5,0)</f>
        <v/>
      </c>
      <c r="G4">
        <f>(C4+D4+E4+F4)*Sessions!C4</f>
        <v/>
      </c>
      <c r="H4">
        <f>Sessions!C4*(C4*Rates!$B$6+D4*Rates!$B$7+E4*Rates!$B$8+F4*Rates!$B$9)</f>
        <v/>
      </c>
      <c r="I4">
        <f>B4*Sessions!D4</f>
        <v/>
      </c>
    </row>
    <row r="5">
      <c r="A5">
        <f>Sessions!A5</f>
        <v/>
      </c>
      <c r="B5">
        <f>Sessions!B5</f>
        <v/>
      </c>
      <c r="C5">
        <f>ROUNDUP(B5/120*Rates!$B$2,0)</f>
        <v/>
      </c>
      <c r="D5">
        <f>ROUNDUP(B5/180*Rates!$B$3,0)</f>
        <v/>
      </c>
      <c r="E5">
        <f>ROUNDUP(B5/250*Rates!$B$4,0)</f>
        <v/>
      </c>
      <c r="F5">
        <f>ROUNDUP((C5+D5+E5)*Rates!$B$5,0)</f>
        <v/>
      </c>
      <c r="G5">
        <f>(C5+D5+E5+F5)*Sessions!C5</f>
        <v/>
      </c>
      <c r="H5">
        <f>Sessions!C5*(C5*Rates!$B$6+D5*Rates!$B$7+E5*Rates!$B$8+F5*Rates!$B$9)</f>
        <v/>
      </c>
      <c r="I5">
        <f>B5*Sessions!D5</f>
        <v/>
      </c>
    </row>
    <row r="6">
      <c r="A6">
        <f>Sessions!A6</f>
        <v/>
      </c>
      <c r="B6">
        <f>Sessions!B6</f>
        <v/>
      </c>
      <c r="C6">
        <f>ROUNDUP(B6/120*Rates!$B$2,0)</f>
        <v/>
      </c>
      <c r="D6">
        <f>ROUNDUP(B6/180*Rates!$B$3,0)</f>
        <v/>
      </c>
      <c r="E6">
        <f>ROUNDUP(B6/250*Rates!$B$4,0)</f>
        <v/>
      </c>
      <c r="F6">
        <f>ROUNDUP((C6+D6+E6)*Rates!$B$5,0)</f>
        <v/>
      </c>
      <c r="G6">
        <f>(C6+D6+E6+F6)*Sessions!C6</f>
        <v/>
      </c>
      <c r="H6">
        <f>Sessions!C6*(C6*Rates!$B$6+D6*Rates!$B$7+E6*Rates!$B$8+F6*Rates!$B$9)</f>
        <v/>
      </c>
      <c r="I6">
        <f>B6*Sessions!D6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Total attendees</t>
        </is>
      </c>
      <c r="C1" s="1" t="inlineStr">
        <is>
          <t>Total labor hours</t>
        </is>
      </c>
      <c r="D1" s="1" t="inlineStr">
        <is>
          <t>Total labor cost</t>
        </is>
      </c>
      <c r="E1" s="1" t="inlineStr">
        <is>
          <t>Revenue</t>
        </is>
      </c>
      <c r="F1" s="1" t="inlineStr">
        <is>
          <t>Margin</t>
        </is>
      </c>
    </row>
    <row r="2">
      <c r="A2" t="inlineStr">
        <is>
          <t>Standard</t>
        </is>
      </c>
      <c r="B2">
        <f>SUM(Staffing_Model!B2:B6)*1</f>
        <v/>
      </c>
      <c r="C2">
        <f>SUM(Staffing_Model!G2:G6)*1</f>
        <v/>
      </c>
      <c r="D2">
        <f>SUM(Staffing_Model!H2:H6)*1</f>
        <v/>
      </c>
      <c r="E2">
        <f>Rates!$B$12 + B2*Rates!$B$13</f>
        <v/>
      </c>
      <c r="F2">
        <f>E2-D2</f>
        <v/>
      </c>
    </row>
    <row r="3">
      <c r="A3" t="inlineStr">
        <is>
          <t>Premium</t>
        </is>
      </c>
      <c r="B3">
        <f>SUM(Staffing_Model!B2:B6)*Rates!$B$10</f>
        <v/>
      </c>
      <c r="C3">
        <f>SUM(Staffing_Model!G2:G6)*Rates!$B$10</f>
        <v/>
      </c>
      <c r="D3">
        <f>SUM(Staffing_Model!H2:H6)*Rates!$B$10</f>
        <v/>
      </c>
      <c r="E3">
        <f>Rates!$B$12 + B3*Rates!$B$13</f>
        <v/>
      </c>
      <c r="F3">
        <f>E3-D3</f>
        <v/>
      </c>
    </row>
    <row r="4">
      <c r="A4" t="inlineStr">
        <is>
          <t>Surge</t>
        </is>
      </c>
      <c r="B4">
        <f>SUM(Staffing_Model!B2:B6)*Rates!$B$11</f>
        <v/>
      </c>
      <c r="C4">
        <f>SUM(Staffing_Model!G2:G6)*Rates!$B$11</f>
        <v/>
      </c>
      <c r="D4">
        <f>SUM(Staffing_Model!H2:H6)*Rates!$B$11</f>
        <v/>
      </c>
      <c r="E4">
        <f>Rates!$B$12 + B4*Rates!$B$13</f>
        <v/>
      </c>
      <c r="F4">
        <f>E4-D4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Most expensive session</t>
        </is>
      </c>
      <c r="B2">
        <f>INDEX(Staffing_Model!A2:A6,MATCH(MAX(Staffing_Model!H2:H6),Staffing_Model!H2:H6,0))</f>
        <v/>
      </c>
    </row>
    <row r="3">
      <c r="A3" t="inlineStr">
        <is>
          <t>Standard margin</t>
        </is>
      </c>
      <c r="B3">
        <f>Scenario_Compare!F2</f>
        <v/>
      </c>
    </row>
    <row r="4">
      <c r="A4" t="inlineStr">
        <is>
          <t>Surge margin</t>
        </is>
      </c>
      <c r="B4">
        <f>Scenario_Compare!F4</f>
        <v/>
      </c>
    </row>
    <row r="5">
      <c r="A5" t="inlineStr">
        <is>
          <t>Total premium attendees</t>
        </is>
      </c>
      <c r="B5">
        <f>SUM(Staffing_Model!I2:I6)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2026-03-23T15:53:59Z</dcterms:created>
  <dcterms:modified xsi:type="dcterms:W3CDTF">2026-03-23T15:53:59Z</dcterms:modified>
</cp:coreProperties>
</file>