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Platinum price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Platinum reserve stress workbook</t>
        </is>
      </c>
    </row>
    <row r="2">
      <c r="B2" s="1" t="inlineStr">
        <is>
          <t>STEP 1</t>
        </is>
      </c>
    </row>
    <row r="3">
      <c r="B3" t="inlineStr">
        <is>
          <t>Z-score (90% one-sided)</t>
        </is>
      </c>
      <c r="C3" t="n">
        <v>1.28</v>
      </c>
    </row>
    <row r="4">
      <c r="B4" t="inlineStr">
        <is>
          <t>4-month volatility</t>
        </is>
      </c>
      <c r="C4">
        <f>'Platinum price'!D11</f>
        <v/>
      </c>
    </row>
    <row r="5">
      <c r="B5" t="inlineStr">
        <is>
          <t>4-month volatility annualized</t>
        </is>
      </c>
      <c r="C5">
        <f>C4*SQRT(12)</f>
        <v/>
      </c>
    </row>
    <row r="6">
      <c r="B6" t="inlineStr">
        <is>
          <t>8-month volatility</t>
        </is>
      </c>
      <c r="C6">
        <f>'Platinum price'!E11</f>
        <v/>
      </c>
    </row>
    <row r="10">
      <c r="B10" s="1" t="inlineStr">
        <is>
          <t>STEP 2</t>
        </is>
      </c>
    </row>
    <row r="11">
      <c r="B11" t="inlineStr">
        <is>
          <t>Country</t>
        </is>
      </c>
      <c r="C11" t="inlineStr">
        <is>
          <t>Asteria</t>
        </is>
      </c>
      <c r="D11" t="inlineStr">
        <is>
          <t>Borland</t>
        </is>
      </c>
      <c r="E11" t="inlineStr">
        <is>
          <t>Cygnia</t>
        </is>
      </c>
      <c r="F11" t="inlineStr">
        <is>
          <t>Deltora</t>
        </is>
      </c>
    </row>
    <row r="12">
      <c r="B12" t="inlineStr">
        <is>
          <t>Reserve value (USD mn)</t>
        </is>
      </c>
      <c r="C12">
        <f>Value!$B$2</f>
        <v/>
      </c>
      <c r="D12">
        <f>Value!$B$3</f>
        <v/>
      </c>
      <c r="E12">
        <f>Value!$B$4</f>
        <v/>
      </c>
      <c r="F12">
        <f>Volume!$B$2*AVERAGE('Platinum price'!$B$2:$B$7)</f>
        <v/>
      </c>
    </row>
    <row r="13">
      <c r="B13" t="inlineStr">
        <is>
          <t>Price exposure</t>
        </is>
      </c>
      <c r="C13">
        <f>C12*$C$3/100*$C$4</f>
        <v/>
      </c>
      <c r="D13">
        <f>D12*$C$3/100*$C$4</f>
        <v/>
      </c>
      <c r="E13">
        <f>E12*$C$3/100*$C$4</f>
        <v/>
      </c>
      <c r="F13">
        <f>F12*$C$3/100*$C$4</f>
        <v/>
      </c>
    </row>
    <row r="19">
      <c r="B19" s="1" t="inlineStr">
        <is>
          <t>STEP 3</t>
        </is>
      </c>
    </row>
    <row r="20">
      <c r="B20" t="inlineStr">
        <is>
          <t>Country</t>
        </is>
      </c>
      <c r="C20" t="inlineStr">
        <is>
          <t>Asteria</t>
        </is>
      </c>
      <c r="D20" t="inlineStr">
        <is>
          <t>Borland</t>
        </is>
      </c>
      <c r="E20" t="inlineStr">
        <is>
          <t>Cygnia</t>
        </is>
      </c>
    </row>
    <row r="21">
      <c r="B21" t="inlineStr">
        <is>
          <t>Reserve value</t>
        </is>
      </c>
      <c r="C21">
        <f>C12</f>
        <v/>
      </c>
      <c r="D21">
        <f>D12</f>
        <v/>
      </c>
      <c r="E21">
        <f>E12</f>
        <v/>
      </c>
    </row>
    <row r="22">
      <c r="B22" t="inlineStr">
        <is>
          <t>Stress loss</t>
        </is>
      </c>
      <c r="C22">
        <f>C21*$C$6/100</f>
        <v/>
      </c>
      <c r="D22">
        <f>D21*$C$6/100</f>
        <v/>
      </c>
      <c r="E22">
        <f>E21*$C$6/100</f>
        <v/>
      </c>
    </row>
    <row r="23">
      <c r="B23" t="inlineStr">
        <is>
          <t>Total reserves</t>
        </is>
      </c>
      <c r="C23">
        <f>XLOOKUP(C20,'Total Reserves'!$A$2:$A$4,'Total Reserves'!$B$2:$B$4)</f>
        <v/>
      </c>
      <c r="D23">
        <f>XLOOKUP(D20,'Total Reserves'!$A$2:$A$4,'Total Reserves'!$B$2:$B$4)</f>
        <v/>
      </c>
      <c r="E23">
        <f>XLOOKUP(E20,'Total Reserves'!$A$2:$A$4,'Total Reserves'!$B$2:$B$4)</f>
        <v/>
      </c>
    </row>
    <row r="24">
      <c r="B24" t="inlineStr">
        <is>
          <t>Reserve-at-risk %</t>
        </is>
      </c>
      <c r="C24">
        <f>C22/C23*100</f>
        <v/>
      </c>
      <c r="D24">
        <f>D22/D23*100</f>
        <v/>
      </c>
      <c r="E24">
        <f>E22/E23*100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Price</t>
        </is>
      </c>
      <c r="C1" s="2" t="inlineStr">
        <is>
          <t>Log return</t>
        </is>
      </c>
      <c r="D1" s="2" t="inlineStr">
        <is>
          <t>4-month volatility</t>
        </is>
      </c>
      <c r="E1" s="2" t="inlineStr">
        <is>
          <t>8-month volatility</t>
        </is>
      </c>
    </row>
    <row r="2">
      <c r="A2" t="inlineStr">
        <is>
          <t>2025M1</t>
        </is>
      </c>
      <c r="B2" t="n">
        <v>910</v>
      </c>
    </row>
    <row r="3">
      <c r="A3" t="inlineStr">
        <is>
          <t>2025M2</t>
        </is>
      </c>
      <c r="B3" t="n">
        <v>925</v>
      </c>
      <c r="C3">
        <f>LN(B3/B2)*100</f>
        <v/>
      </c>
    </row>
    <row r="4">
      <c r="A4" t="inlineStr">
        <is>
          <t>2025M3</t>
        </is>
      </c>
      <c r="B4" t="n">
        <v>935</v>
      </c>
      <c r="C4">
        <f>LN(B4/B3)*100</f>
        <v/>
      </c>
    </row>
    <row r="5">
      <c r="A5" t="inlineStr">
        <is>
          <t>2025M4</t>
        </is>
      </c>
      <c r="B5" t="n">
        <v>928</v>
      </c>
      <c r="C5">
        <f>LN(B5/B4)*100</f>
        <v/>
      </c>
    </row>
    <row r="6">
      <c r="A6" t="inlineStr">
        <is>
          <t>2025M5</t>
        </is>
      </c>
      <c r="B6" t="n">
        <v>940</v>
      </c>
      <c r="C6">
        <f>LN(B6/B5)*100</f>
        <v/>
      </c>
      <c r="D6">
        <f>STDEV.S(C3:C6)</f>
        <v/>
      </c>
    </row>
    <row r="7">
      <c r="A7" t="inlineStr">
        <is>
          <t>2025M6</t>
        </is>
      </c>
      <c r="B7" t="n">
        <v>955</v>
      </c>
      <c r="C7">
        <f>LN(B7/B6)*100</f>
        <v/>
      </c>
      <c r="D7">
        <f>STDEV.S(C4:C7)</f>
        <v/>
      </c>
    </row>
    <row r="8">
      <c r="A8" t="inlineStr">
        <is>
          <t>2025M7</t>
        </is>
      </c>
      <c r="B8" t="n">
        <v>970</v>
      </c>
      <c r="C8">
        <f>LN(B8/B7)*100</f>
        <v/>
      </c>
      <c r="D8">
        <f>STDEV.S(C5:C8)</f>
        <v/>
      </c>
    </row>
    <row r="9">
      <c r="A9" t="inlineStr">
        <is>
          <t>2025M8</t>
        </is>
      </c>
      <c r="B9" t="n">
        <v>960</v>
      </c>
      <c r="C9">
        <f>LN(B9/B8)*100</f>
        <v/>
      </c>
      <c r="D9">
        <f>STDEV.S(C6:C9)</f>
        <v/>
      </c>
    </row>
    <row r="10">
      <c r="A10" t="inlineStr">
        <is>
          <t>2025M9</t>
        </is>
      </c>
      <c r="B10" t="n">
        <v>978</v>
      </c>
      <c r="C10">
        <f>LN(B10/B9)*100</f>
        <v/>
      </c>
      <c r="D10">
        <f>STDEV.S(C7:C10)</f>
        <v/>
      </c>
      <c r="E10">
        <f>STDEV.S(C3:C10)</f>
        <v/>
      </c>
    </row>
    <row r="11">
      <c r="A11" t="inlineStr">
        <is>
          <t>2025M10</t>
        </is>
      </c>
      <c r="B11" t="n">
        <v>990</v>
      </c>
      <c r="C11">
        <f>LN(B11/B10)*100</f>
        <v/>
      </c>
      <c r="D11">
        <f>STDEV.S(C8:C11)</f>
        <v/>
      </c>
      <c r="E11">
        <f>STDEV.S(C4:C11)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2025 Value (USD mn)</t>
        </is>
      </c>
    </row>
    <row r="2">
      <c r="A2" t="inlineStr">
        <is>
          <t>Asteria</t>
        </is>
      </c>
      <c r="B2" t="n">
        <v>1840</v>
      </c>
    </row>
    <row r="3">
      <c r="A3" t="inlineStr">
        <is>
          <t>Borland</t>
        </is>
      </c>
      <c r="B3" t="n">
        <v>1325</v>
      </c>
    </row>
    <row r="4">
      <c r="A4" t="inlineStr">
        <is>
          <t>Cygnia</t>
        </is>
      </c>
      <c r="B4" t="n">
        <v>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2025 Volume (mn oz)</t>
        </is>
      </c>
    </row>
    <row r="2">
      <c r="A2" t="inlineStr">
        <is>
          <t>Deltora</t>
        </is>
      </c>
      <c r="B2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2025 Total Reserves (USD mn)</t>
        </is>
      </c>
    </row>
    <row r="2">
      <c r="A2" t="inlineStr">
        <is>
          <t>Asteria</t>
        </is>
      </c>
      <c r="B2" t="n">
        <v>8200</v>
      </c>
    </row>
    <row r="3">
      <c r="A3" t="inlineStr">
        <is>
          <t>Borland</t>
        </is>
      </c>
      <c r="B3" t="n">
        <v>7600</v>
      </c>
    </row>
    <row r="4">
      <c r="A4" t="inlineStr">
        <is>
          <t>Cygnia</t>
        </is>
      </c>
      <c r="B4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