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" sheetId="1" state="visible" r:id="rId1"/>
    <sheet name="Deposits" sheetId="2" state="visible" r:id="rId2"/>
    <sheet name="Ladder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Days</t>
        </is>
      </c>
      <c r="B1" s="1" t="inlineStr">
        <is>
          <t>Annual Yield</t>
        </is>
      </c>
    </row>
    <row r="2">
      <c r="A2" t="n">
        <v>30</v>
      </c>
      <c r="B2" t="n">
        <v>0.031</v>
      </c>
    </row>
    <row r="3">
      <c r="A3" t="n">
        <v>60</v>
      </c>
      <c r="B3" t="n">
        <v>0.034</v>
      </c>
    </row>
    <row r="4">
      <c r="A4" t="n">
        <v>90</v>
      </c>
      <c r="B4" t="n">
        <v>0.0365</v>
      </c>
    </row>
    <row r="5">
      <c r="A5" t="n">
        <v>180</v>
      </c>
      <c r="B5" t="n">
        <v>0.041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Principal</t>
        </is>
      </c>
      <c r="C1" s="1" t="inlineStr">
        <is>
          <t>Days</t>
        </is>
      </c>
      <c r="D1" s="1" t="inlineStr">
        <is>
          <t>Bucket</t>
        </is>
      </c>
      <c r="E1" s="1" t="inlineStr">
        <is>
          <t>Matched Yield</t>
        </is>
      </c>
      <c r="F1" s="1" t="inlineStr">
        <is>
          <t>Quarter Interest</t>
        </is>
      </c>
    </row>
    <row r="2">
      <c r="A2" t="inlineStr">
        <is>
          <t>General Fund</t>
        </is>
      </c>
      <c r="B2" t="n">
        <v>2400000</v>
      </c>
      <c r="C2" t="n">
        <v>30</v>
      </c>
      <c r="D2" t="inlineStr">
        <is>
          <t>Q2</t>
        </is>
      </c>
      <c r="E2">
        <f>XLOOKUP(C2,Curve!$A$2:$A$5,Curve!$B$2:$B$5)</f>
        <v/>
      </c>
      <c r="F2">
        <f>B2*E2*C2/365</f>
        <v/>
      </c>
    </row>
    <row r="3">
      <c r="A3" t="inlineStr">
        <is>
          <t>Water Ops</t>
        </is>
      </c>
      <c r="B3" t="n">
        <v>1750000</v>
      </c>
      <c r="C3" t="n">
        <v>60</v>
      </c>
      <c r="D3" t="inlineStr">
        <is>
          <t>Q2</t>
        </is>
      </c>
      <c r="E3">
        <f>XLOOKUP(C3,Curve!$A$2:$A$5,Curve!$B$2:$B$5)</f>
        <v/>
      </c>
      <c r="F3">
        <f>B3*E3*C3/365</f>
        <v/>
      </c>
    </row>
    <row r="4">
      <c r="A4" t="inlineStr">
        <is>
          <t>Transit Reserve</t>
        </is>
      </c>
      <c r="B4" t="n">
        <v>3200000</v>
      </c>
      <c r="C4" t="n">
        <v>90</v>
      </c>
      <c r="D4" t="inlineStr">
        <is>
          <t>Q3</t>
        </is>
      </c>
      <c r="E4">
        <f>XLOOKUP(C4,Curve!$A$2:$A$5,Curve!$B$2:$B$5)</f>
        <v/>
      </c>
      <c r="F4">
        <f>B4*E4*C4/365</f>
        <v/>
      </c>
    </row>
    <row r="5">
      <c r="A5" t="inlineStr">
        <is>
          <t>Capital Fund</t>
        </is>
      </c>
      <c r="B5" t="n">
        <v>4600000</v>
      </c>
      <c r="C5" t="n">
        <v>180</v>
      </c>
      <c r="D5" t="inlineStr">
        <is>
          <t>Q4</t>
        </is>
      </c>
      <c r="E5">
        <f>XLOOKUP(C5,Curve!$A$2:$A$5,Curve!$B$2:$B$5)</f>
        <v/>
      </c>
      <c r="F5">
        <f>B5*E5*C5/365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Principal</t>
        </is>
      </c>
      <c r="C1" s="1" t="inlineStr">
        <is>
          <t>Interest</t>
        </is>
      </c>
    </row>
    <row r="2">
      <c r="A2" t="inlineStr">
        <is>
          <t>Q2</t>
        </is>
      </c>
      <c r="B2">
        <f>SUMIF(Deposits!$D$2:$D$5,A2,Deposits!$B$2:$B$5)</f>
        <v/>
      </c>
      <c r="C2">
        <f>SUMIF(Deposits!$D$2:$D$5,A2,Deposits!$F$2:$F$5)</f>
        <v/>
      </c>
    </row>
    <row r="3">
      <c r="A3" t="inlineStr">
        <is>
          <t>Q3</t>
        </is>
      </c>
      <c r="B3">
        <f>SUMIF(Deposits!$D$2:$D$5,A3,Deposits!$B$2:$B$5)</f>
        <v/>
      </c>
      <c r="C3">
        <f>SUMIF(Deposits!$D$2:$D$5,A3,Deposits!$F$2:$F$5)</f>
        <v/>
      </c>
    </row>
    <row r="4">
      <c r="A4" t="inlineStr">
        <is>
          <t>Q4</t>
        </is>
      </c>
      <c r="B4">
        <f>SUMIF(Deposits!$D$2:$D$5,A4,Deposits!$B$2:$B$5)</f>
        <v/>
      </c>
      <c r="C4">
        <f>SUMIF(Deposits!$D$2:$D$5,A4,Deposits!$F$2:$F$5)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principal</t>
        </is>
      </c>
      <c r="B2">
        <f>SUM(Deposits!B2:B5)</f>
        <v/>
      </c>
    </row>
    <row r="3">
      <c r="A3" t="inlineStr">
        <is>
          <t>Total interest</t>
        </is>
      </c>
      <c r="B3">
        <f>SUM(Deposits!F2:F5)</f>
        <v/>
      </c>
    </row>
    <row r="4">
      <c r="A4" t="inlineStr">
        <is>
          <t>Weighted yield</t>
        </is>
      </c>
      <c r="B4">
        <f>SUMPRODUCT(Deposits!B2:B5,Deposits!E2:E5)/SUM(Deposits!B2:B5)</f>
        <v/>
      </c>
    </row>
    <row r="5">
      <c r="A5" t="inlineStr">
        <is>
          <t>Best bucket</t>
        </is>
      </c>
      <c r="B5">
        <f>INDEX(Ladder!A2:A4,MATCH(MAX(Ladder!C2:C4),Ladder!C2:C4,0))</f>
        <v/>
      </c>
    </row>
    <row r="6">
      <c r="A6" t="inlineStr">
        <is>
          <t>Reinvestment reserve</t>
        </is>
      </c>
      <c r="B6">
        <f>B3*0.6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