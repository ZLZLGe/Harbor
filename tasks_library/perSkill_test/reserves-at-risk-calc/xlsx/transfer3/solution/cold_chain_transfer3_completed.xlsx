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nventory" sheetId="2" state="visible" r:id="rId2"/>
    <sheet name="Scenarios" sheetId="3" state="visible" r:id="rId3"/>
    <sheet name="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Stress shock pct</t>
        </is>
      </c>
      <c r="B2" t="n">
        <v>0.18</v>
      </c>
    </row>
    <row r="3">
      <c r="A3" t="inlineStr">
        <is>
          <t>Target months cover</t>
        </is>
      </c>
      <c r="B3" t="n">
        <v>2.5</v>
      </c>
    </row>
    <row r="4">
      <c r="A4" t="inlineStr">
        <is>
          <t>Expedite premium</t>
        </is>
      </c>
      <c r="B4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Units on Hand</t>
        </is>
      </c>
      <c r="C1" s="1" t="inlineStr">
        <is>
          <t>Monthly Usage</t>
        </is>
      </c>
      <c r="D1" s="1" t="inlineStr">
        <is>
          <t>Unit Cost</t>
        </is>
      </c>
      <c r="E1" s="1" t="inlineStr">
        <is>
          <t>Inventory Value</t>
        </is>
      </c>
      <c r="F1" s="1" t="inlineStr">
        <is>
          <t>Months Cover</t>
        </is>
      </c>
      <c r="G1" s="1" t="inlineStr">
        <is>
          <t>Stress Loss</t>
        </is>
      </c>
      <c r="H1" s="1" t="inlineStr">
        <is>
          <t>Expedited Restock</t>
        </is>
      </c>
    </row>
    <row r="2">
      <c r="A2" t="inlineStr">
        <is>
          <t>Vaccine Kits</t>
        </is>
      </c>
      <c r="B2" t="n">
        <v>4200</v>
      </c>
      <c r="C2" t="n">
        <v>1500</v>
      </c>
      <c r="D2" t="n">
        <v>36</v>
      </c>
      <c r="E2">
        <f>B2*D2</f>
        <v/>
      </c>
      <c r="F2">
        <f>B2/C2</f>
        <v/>
      </c>
      <c r="G2">
        <f>E2*Inputs!$B$2</f>
        <v/>
      </c>
      <c r="H2">
        <f>MAX(Inputs!$B$3-F2,0)*C2*D2*(1+Inputs!$B$4)</f>
        <v/>
      </c>
    </row>
    <row r="3">
      <c r="A3" t="inlineStr">
        <is>
          <t>Frozen Meals</t>
        </is>
      </c>
      <c r="B3" t="n">
        <v>6800</v>
      </c>
      <c r="C3" t="n">
        <v>2200</v>
      </c>
      <c r="D3" t="n">
        <v>4.8</v>
      </c>
      <c r="E3">
        <f>B3*D3</f>
        <v/>
      </c>
      <c r="F3">
        <f>B3/C3</f>
        <v/>
      </c>
      <c r="G3">
        <f>E3*Inputs!$B$2</f>
        <v/>
      </c>
      <c r="H3">
        <f>MAX(Inputs!$B$3-F3,0)*C3*D3*(1+Inputs!$B$4)</f>
        <v/>
      </c>
    </row>
    <row r="4">
      <c r="A4" t="inlineStr">
        <is>
          <t>Insulin Packs</t>
        </is>
      </c>
      <c r="B4" t="n">
        <v>3100</v>
      </c>
      <c r="C4" t="n">
        <v>900</v>
      </c>
      <c r="D4" t="n">
        <v>18</v>
      </c>
      <c r="E4">
        <f>B4*D4</f>
        <v/>
      </c>
      <c r="F4">
        <f>B4/C4</f>
        <v/>
      </c>
      <c r="G4">
        <f>E4*Inputs!$B$2</f>
        <v/>
      </c>
      <c r="H4">
        <f>MAX(Inputs!$B$3-F4,0)*C4*D4*(1+Inputs!$B$4)</f>
        <v/>
      </c>
    </row>
    <row r="5">
      <c r="A5" t="inlineStr">
        <is>
          <t>PCM Coolant</t>
        </is>
      </c>
      <c r="B5" t="n">
        <v>1500</v>
      </c>
      <c r="C5" t="n">
        <v>400</v>
      </c>
      <c r="D5" t="n">
        <v>55</v>
      </c>
      <c r="E5">
        <f>B5*D5</f>
        <v/>
      </c>
      <c r="F5">
        <f>B5/C5</f>
        <v/>
      </c>
      <c r="G5">
        <f>E5*Inputs!$B$2</f>
        <v/>
      </c>
      <c r="H5">
        <f>MAX(Inputs!$B$3-F5,0)*C5*D5*(1+Inputs!$B$4)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</t>
        </is>
      </c>
      <c r="C1" s="1" t="inlineStr">
        <is>
          <t>Stress</t>
        </is>
      </c>
    </row>
    <row r="2">
      <c r="A2" t="inlineStr">
        <is>
          <t>Total inventory value</t>
        </is>
      </c>
      <c r="B2">
        <f>SUM(Inventory!E2:E5)</f>
        <v/>
      </c>
      <c r="C2">
        <f>B2-SUM(Inventory!G2:G5)</f>
        <v/>
      </c>
    </row>
    <row r="3">
      <c r="A3" t="inlineStr">
        <is>
          <t>Average months cover</t>
        </is>
      </c>
      <c r="B3">
        <f>AVERAGE(Inventory!F2:F5)</f>
        <v/>
      </c>
      <c r="C3">
        <f>MIN(Inventory!F2:F5)</f>
        <v/>
      </c>
    </row>
    <row r="4">
      <c r="A4" t="inlineStr">
        <is>
          <t>Expedited restock cost</t>
        </is>
      </c>
      <c r="B4">
        <f>0</f>
        <v/>
      </c>
      <c r="C4">
        <f>SUM(Inventory!H2:H5)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shock loss</t>
        </is>
      </c>
      <c r="B2">
        <f>SUM(Inventory!G2:G5)</f>
        <v/>
      </c>
    </row>
    <row r="3">
      <c r="A3" t="inlineStr">
        <is>
          <t>Low-buffer SKU count</t>
        </is>
      </c>
      <c r="B3">
        <f>COUNTIF(Inventory!F2:F5,"&lt;"&amp;Inputs!$B$3)</f>
        <v/>
      </c>
    </row>
    <row r="4">
      <c r="A4" t="inlineStr">
        <is>
          <t>Highest-loss SKU</t>
        </is>
      </c>
      <c r="B4">
        <f>INDEX(Inventory!A2:A5,MATCH(MAX(Inventory!G2:G5),Inventory!G2:G5,0))</f>
        <v/>
      </c>
    </row>
    <row r="5">
      <c r="A5" t="inlineStr">
        <is>
          <t>Stress ending value</t>
        </is>
      </c>
      <c r="B5">
        <f>Scenarios!C2</f>
        <v/>
      </c>
    </row>
    <row r="6">
      <c r="A6" t="inlineStr">
        <is>
          <t>Urgency color</t>
        </is>
      </c>
      <c r="B6">
        <f>IF(B3=0,"GREEN",IF(B3=1,"AMBER","RED"))</f>
        <v/>
      </c>
    </row>
    <row r="7">
      <c r="A7" t="inlineStr">
        <is>
          <t>Average cover</t>
        </is>
      </c>
      <c r="B7">
        <f>Scenarios!B3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2026-03-25T10:49:04Z</dcterms:created>
  <dcterms:modified xsi:type="dcterms:W3CDTF">2026-03-25T10:49:04Z</dcterms:modified>
</cp:coreProperties>
</file>