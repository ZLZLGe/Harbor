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Hedg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Strip Month</t>
        </is>
      </c>
      <c r="B1" s="1" t="inlineStr">
        <is>
          <t>Jet Fuel Price</t>
        </is>
      </c>
      <c r="C1" s="1" t="inlineStr">
        <is>
          <t>Log return</t>
        </is>
      </c>
      <c r="D1" s="1" t="inlineStr">
        <is>
          <t>3-strip volatility</t>
        </is>
      </c>
    </row>
    <row r="2">
      <c r="A2" t="inlineStr">
        <is>
          <t>2025-04</t>
        </is>
      </c>
      <c r="B2" t="n">
        <v>2.31</v>
      </c>
    </row>
    <row r="3">
      <c r="A3" t="inlineStr">
        <is>
          <t>2025-05</t>
        </is>
      </c>
      <c r="B3" t="n">
        <v>2.28</v>
      </c>
      <c r="C3">
        <f>LN(B3/B2)*100</f>
        <v/>
      </c>
    </row>
    <row r="4">
      <c r="A4" t="inlineStr">
        <is>
          <t>2025-06</t>
        </is>
      </c>
      <c r="B4" t="n">
        <v>2.34</v>
      </c>
      <c r="C4">
        <f>LN(B4/B3)*100</f>
        <v/>
      </c>
    </row>
    <row r="5">
      <c r="A5" t="inlineStr">
        <is>
          <t>2025-07</t>
        </is>
      </c>
      <c r="B5" t="n">
        <v>2.41</v>
      </c>
      <c r="C5">
        <f>LN(B5/B4)*100</f>
        <v/>
      </c>
      <c r="D5">
        <f>STDEV.S(C3:C5)</f>
        <v/>
      </c>
    </row>
    <row r="6">
      <c r="A6" t="inlineStr">
        <is>
          <t>2025-08</t>
        </is>
      </c>
      <c r="B6" t="n">
        <v>2.39</v>
      </c>
      <c r="C6">
        <f>LN(B6/B5)*100</f>
        <v/>
      </c>
      <c r="D6">
        <f>STDEV.S(C4:C6)</f>
        <v/>
      </c>
    </row>
    <row r="7">
      <c r="A7" t="inlineStr">
        <is>
          <t>2025-09</t>
        </is>
      </c>
      <c r="B7" t="n">
        <v>2.44</v>
      </c>
      <c r="C7">
        <f>LN(B7/B6)*100</f>
        <v/>
      </c>
      <c r="D7">
        <f>STDEV.S(C5:C7)</f>
        <v/>
      </c>
    </row>
    <row r="8">
      <c r="A8" t="inlineStr">
        <is>
          <t>2025-10</t>
        </is>
      </c>
      <c r="B8" t="n">
        <v>2.49</v>
      </c>
      <c r="C8">
        <f>LN(B8/B7)*100</f>
        <v/>
      </c>
      <c r="D8">
        <f>STDEV.S(C6:C8)</f>
        <v/>
      </c>
    </row>
    <row r="9">
      <c r="A9" t="inlineStr">
        <is>
          <t>2025-11</t>
        </is>
      </c>
      <c r="B9" t="n">
        <v>2.52</v>
      </c>
      <c r="C9">
        <f>LN(B9/B8)*100</f>
        <v/>
      </c>
      <c r="D9">
        <f>STDEV.S(C7:C9)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</t>
        </is>
      </c>
      <c r="B1" s="1" t="inlineStr">
        <is>
          <t>Forecast Gallons</t>
        </is>
      </c>
      <c r="C1" s="1" t="inlineStr">
        <is>
          <t>Hedge Ratio</t>
        </is>
      </c>
      <c r="D1" s="1" t="inlineStr">
        <is>
          <t>Hedged Gallons</t>
        </is>
      </c>
      <c r="E1" s="1" t="inlineStr">
        <is>
          <t>Notional Cost</t>
        </is>
      </c>
      <c r="F1" s="1" t="inlineStr">
        <is>
          <t>Margin Buffer</t>
        </is>
      </c>
    </row>
    <row r="2">
      <c r="A2" t="inlineStr">
        <is>
          <t>Domestic</t>
        </is>
      </c>
      <c r="B2" t="n">
        <v>1200000</v>
      </c>
      <c r="C2" t="n">
        <v>0.55</v>
      </c>
      <c r="D2">
        <f>B2*C2</f>
        <v/>
      </c>
      <c r="E2">
        <f>D2*Summary!$B$2</f>
        <v/>
      </c>
      <c r="F2">
        <f>E2*Summary!$B$4/100*1.65</f>
        <v/>
      </c>
    </row>
    <row r="3">
      <c r="A3" t="inlineStr">
        <is>
          <t>Atlantic</t>
        </is>
      </c>
      <c r="B3" t="n">
        <v>800000</v>
      </c>
      <c r="C3" t="n">
        <v>0.7</v>
      </c>
      <c r="D3">
        <f>B3*C3</f>
        <v/>
      </c>
      <c r="E3">
        <f>D3*Summary!$B$2</f>
        <v/>
      </c>
      <c r="F3">
        <f>E3*Summary!$B$4/100*1.65</f>
        <v/>
      </c>
    </row>
    <row r="4">
      <c r="A4" t="inlineStr">
        <is>
          <t>Cargo</t>
        </is>
      </c>
      <c r="B4" t="n">
        <v>650000</v>
      </c>
      <c r="C4" t="n">
        <v>0.4</v>
      </c>
      <c r="D4">
        <f>B4*C4</f>
        <v/>
      </c>
      <c r="E4">
        <f>D4*Summary!$B$2</f>
        <v/>
      </c>
      <c r="F4">
        <f>E4*Summary!$B$4/100*1.65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strip price</t>
        </is>
      </c>
      <c r="B2">
        <f>AVERAGE(Prices!B2:B9)</f>
        <v/>
      </c>
    </row>
    <row r="3">
      <c r="A3" t="inlineStr">
        <is>
          <t>Latest 3-strip volatility</t>
        </is>
      </c>
      <c r="B3">
        <f>Prices!D9</f>
        <v/>
      </c>
    </row>
    <row r="4">
      <c r="A4" t="inlineStr">
        <is>
          <t>Annualized volatility</t>
        </is>
      </c>
      <c r="B4">
        <f>B3*SQRT(12)</f>
        <v/>
      </c>
    </row>
    <row r="5">
      <c r="A5" t="inlineStr">
        <is>
          <t>Total hedged gallons</t>
        </is>
      </c>
      <c r="B5">
        <f>SUM(Hedges!D2:D4)</f>
        <v/>
      </c>
    </row>
    <row r="6">
      <c r="A6" t="inlineStr">
        <is>
          <t>Total notional cost</t>
        </is>
      </c>
      <c r="B6">
        <f>SUM(Hedges!E2:E4)</f>
        <v/>
      </c>
    </row>
    <row r="7">
      <c r="A7" t="inlineStr">
        <is>
          <t>Total margin buffer</t>
        </is>
      </c>
      <c r="B7">
        <f>SUM(Hedges!F2:F4)</f>
        <v/>
      </c>
    </row>
    <row r="8">
      <c r="A8" t="inlineStr">
        <is>
          <t>Largest desk</t>
        </is>
      </c>
      <c r="B8">
        <f>INDEX(Hedges!A2:A4,MATCH(MAX(Hedges!E2:E4),Hedges!E2:E4,0))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2026-03-25T10:49:04Z</dcterms:created>
  <dcterms:modified xsi:type="dcterms:W3CDTF">2026-03-25T10:49:04Z</dcterms:modified>
</cp:coreProperties>
</file>