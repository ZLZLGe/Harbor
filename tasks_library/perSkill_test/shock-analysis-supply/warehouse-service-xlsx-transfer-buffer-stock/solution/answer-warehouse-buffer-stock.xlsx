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ipment_Forecast" sheetId="1" r:id="rId1"/>
    <sheet name="Capacity_Loss" sheetId="2" r:id="rId2"/>
    <sheet name="Replenishment_Plan" sheetId="3" r:id="rId3"/>
    <sheet name="Inventory_Rollforward" sheetId="4" r:id="rId4"/>
    <sheet name="Service_Gap" sheetId="5" r:id="rId5"/>
    <sheet name="Expansion_Comparison" sheetId="6" r:id="rId6"/>
  </sheets>
  <calcPr calcId="171027" fullCalcOnLoad="1"/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6"/>
  <sheetData>
    <row r="1">
      <c r="A1" t="inlineStr">
        <is>
          <t>Warehouse buffer stock demand template</t>
        </is>
      </c>
    </row>
    <row r="2">
      <c r="A2" t="inlineStr">
        <is>
          <t>Baseline monthly growth</t>
        </is>
      </c>
      <c r="B2">
        <v>0.025</v>
      </c>
    </row>
    <row r="3">
      <c r="A3" t="inlineStr">
        <is>
          <t>Stress demand uplift</t>
        </is>
      </c>
      <c r="B3">
        <v>0.06</v>
      </c>
    </row>
    <row r="7">
      <c r="A7" t="inlineStr">
        <is>
          <t>Month</t>
        </is>
      </c>
      <c r="B7" t="inlineStr">
        <is>
          <t>Actual_Shipments</t>
        </is>
      </c>
      <c r="C7" t="inlineStr">
        <is>
          <t>Baseline_Demand</t>
        </is>
      </c>
      <c r="D7" t="inlineStr">
        <is>
          <t>Seasonal_Uplift</t>
        </is>
      </c>
      <c r="E7" t="inlineStr">
        <is>
          <t>Stress_Demand</t>
        </is>
      </c>
    </row>
    <row r="8">
      <c r="A8" t="inlineStr">
        <is>
          <t>2025-01</t>
        </is>
      </c>
      <c r="B8">
        <v>9450</v>
      </c>
      <c r="C8">
        <f>B8</f>
        <v>9450.0</v>
      </c>
      <c r="D8">
        <v>0</v>
      </c>
      <c r="E8">
        <f>C8</f>
        <v>9450.0</v>
      </c>
    </row>
    <row r="9">
      <c r="A9" t="inlineStr">
        <is>
          <t>2025-02</t>
        </is>
      </c>
      <c r="B9">
        <v>9720</v>
      </c>
      <c r="C9">
        <f>B9</f>
        <v>9720.0</v>
      </c>
      <c r="D9">
        <v>0</v>
      </c>
      <c r="E9">
        <f>C9</f>
        <v>9720.0</v>
      </c>
    </row>
    <row r="10">
      <c r="A10" t="inlineStr">
        <is>
          <t>2025-03</t>
        </is>
      </c>
      <c r="B10">
        <v>10010</v>
      </c>
      <c r="C10">
        <f>B10</f>
        <v>10010.0</v>
      </c>
      <c r="D10">
        <v>0</v>
      </c>
      <c r="E10">
        <f>C10</f>
        <v>10010.0</v>
      </c>
    </row>
    <row r="11">
      <c r="A11" t="inlineStr">
        <is>
          <t>2025-04</t>
        </is>
      </c>
      <c r="C11">
        <f>C10*(1+$B$2)</f>
        <v>10260.25</v>
      </c>
      <c r="D11">
        <v>0.01</v>
      </c>
      <c r="E11">
        <f>C11*(1+$B$3+D11)</f>
        <v>10978.4675</v>
      </c>
    </row>
    <row r="12">
      <c r="A12" t="inlineStr">
        <is>
          <t>2025-05</t>
        </is>
      </c>
      <c r="C12">
        <f>C11*(1+$B$2)</f>
        <v>10516.756249999999</v>
      </c>
      <c r="D12">
        <v>0.03</v>
      </c>
      <c r="E12">
        <f>C12*(1+$B$3+D12)</f>
        <v>11463.2643125</v>
      </c>
    </row>
    <row r="13">
      <c r="A13" t="inlineStr">
        <is>
          <t>2025-06</t>
        </is>
      </c>
      <c r="C13">
        <f>C12*(1+$B$2)</f>
        <v>10779.675156249998</v>
      </c>
      <c r="D13">
        <v>0.05</v>
      </c>
      <c r="E13">
        <f>C13*(1+$B$3+D13)</f>
        <v>11965.439423437498</v>
      </c>
    </row>
    <row r="14">
      <c r="A14" t="inlineStr">
        <is>
          <t>2025-07</t>
        </is>
      </c>
      <c r="C14">
        <f>C13*(1+$B$2)</f>
        <v>11049.167035156246</v>
      </c>
      <c r="D14">
        <v>0.04</v>
      </c>
      <c r="E14">
        <f>C14*(1+$B$3+D14)</f>
        <v>12154.083738671872</v>
      </c>
    </row>
    <row r="15">
      <c r="A15" t="inlineStr">
        <is>
          <t>2025-08</t>
        </is>
      </c>
      <c r="C15">
        <f>C14*(1+$B$2)</f>
        <v>11325.396211035151</v>
      </c>
      <c r="D15">
        <v>0.02</v>
      </c>
      <c r="E15">
        <f>C15*(1+$B$3+D15)</f>
        <v>12231.427907917965</v>
      </c>
    </row>
    <row r="16">
      <c r="A16" t="inlineStr">
        <is>
          <t>2025-09</t>
        </is>
      </c>
      <c r="C16">
        <f>C15*(1+$B$2)</f>
        <v>11608.53111631103</v>
      </c>
      <c r="D16">
        <v>0.01</v>
      </c>
      <c r="E16">
        <f>C16*(1+$B$3+D16)</f>
        <v>12421.128294452801</v>
      </c>
    </row>
  </sheetData>
</worksheet>
</file>

<file path=xl/worksheets/sheet2.xml><?xml version="1.0" encoding="utf-8"?>
<worksheet xmlns="http://schemas.openxmlformats.org/spreadsheetml/2006/main">
  <dimension ref="A1:F16"/>
  <sheetData>
    <row r="1">
      <c r="A1" t="inlineStr">
        <is>
          <t>Warehouse usable capacity after monthly loss</t>
        </is>
      </c>
    </row>
    <row r="2">
      <c r="A2" t="inlineStr">
        <is>
          <t>Nominal storage capacity</t>
        </is>
      </c>
      <c r="B2">
        <v>11800</v>
      </c>
    </row>
    <row r="3">
      <c r="A3" t="inlineStr">
        <is>
          <t>Lease overflow capacity</t>
        </is>
      </c>
      <c r="B3">
        <v>1800</v>
      </c>
    </row>
    <row r="4">
      <c r="A4" t="inlineStr">
        <is>
          <t>Rack upgrade capacity</t>
        </is>
      </c>
      <c r="B4">
        <v>2600</v>
      </c>
    </row>
    <row r="5">
      <c r="A5" t="inlineStr">
        <is>
          <t>Rack loss reduction</t>
        </is>
      </c>
      <c r="B5">
        <v>0.004</v>
      </c>
    </row>
    <row r="7">
      <c r="A7" t="inlineStr">
        <is>
          <t>Month</t>
        </is>
      </c>
      <c r="B7" t="inlineStr">
        <is>
          <t>Loss_Rate</t>
        </is>
      </c>
      <c r="C7" t="inlineStr">
        <is>
          <t>Baseline_Usable_Capacity</t>
        </is>
      </c>
      <c r="D7" t="inlineStr">
        <is>
          <t>Lease_Usable_Capacity</t>
        </is>
      </c>
      <c r="E7" t="inlineStr">
        <is>
          <t>Rack_Loss_Rate</t>
        </is>
      </c>
      <c r="F7" t="inlineStr">
        <is>
          <t>Rack_Usable_Capacity</t>
        </is>
      </c>
    </row>
    <row r="8">
      <c r="A8" t="inlineStr">
        <is>
          <t>2025-01</t>
        </is>
      </c>
      <c r="B8">
        <v>0.012</v>
      </c>
      <c r="C8">
        <f>$B$2*(1-B8)</f>
        <v>11658.4</v>
      </c>
      <c r="D8">
        <f>($B$2+$B$3)*(1-B8)</f>
        <v>13436.8</v>
      </c>
      <c r="E8">
        <f>MAX(B8-$B$5,0)</f>
        <v>0.008</v>
      </c>
      <c r="F8">
        <f>($B$2+$B$4)*(1-E8)</f>
        <v>14284.8</v>
      </c>
    </row>
    <row r="9">
      <c r="A9" t="inlineStr">
        <is>
          <t>2025-02</t>
        </is>
      </c>
      <c r="B9">
        <v>0.013</v>
      </c>
      <c r="C9">
        <f>$B$2*(1-B9)</f>
        <v>11646.6</v>
      </c>
      <c r="D9">
        <f>($B$2+$B$3)*(1-B9)</f>
        <v>13423.2</v>
      </c>
      <c r="E9">
        <f>MAX(B9-$B$5,0)</f>
        <v>0.009</v>
      </c>
      <c r="F9">
        <f>($B$2+$B$4)*(1-E9)</f>
        <v>14270.4</v>
      </c>
    </row>
    <row r="10">
      <c r="A10" t="inlineStr">
        <is>
          <t>2025-03</t>
        </is>
      </c>
      <c r="B10">
        <v>0.013</v>
      </c>
      <c r="C10">
        <f>$B$2*(1-B10)</f>
        <v>11646.6</v>
      </c>
      <c r="D10">
        <f>($B$2+$B$3)*(1-B10)</f>
        <v>13423.2</v>
      </c>
      <c r="E10">
        <f>MAX(B10-$B$5,0)</f>
        <v>0.009</v>
      </c>
      <c r="F10">
        <f>($B$2+$B$4)*(1-E10)</f>
        <v>14270.4</v>
      </c>
    </row>
    <row r="11">
      <c r="A11" t="inlineStr">
        <is>
          <t>2025-04</t>
        </is>
      </c>
      <c r="B11">
        <v>0.015</v>
      </c>
      <c r="C11">
        <f>$B$2*(1-B11)</f>
        <v>11623.0</v>
      </c>
      <c r="D11">
        <f>($B$2+$B$3)*(1-B11)</f>
        <v>13396.0</v>
      </c>
      <c r="E11">
        <f>MAX(B11-$B$5,0)</f>
        <v>0.011</v>
      </c>
      <c r="F11">
        <f>($B$2+$B$4)*(1-E11)</f>
        <v>14241.6</v>
      </c>
    </row>
    <row r="12">
      <c r="A12" t="inlineStr">
        <is>
          <t>2025-05</t>
        </is>
      </c>
      <c r="B12">
        <v>0.018</v>
      </c>
      <c r="C12">
        <f>$B$2*(1-B12)</f>
        <v>11587.6</v>
      </c>
      <c r="D12">
        <f>($B$2+$B$3)*(1-B12)</f>
        <v>13355.199999999999</v>
      </c>
      <c r="E12">
        <f>MAX(B12-$B$5,0)</f>
        <v>0.013999999999999999</v>
      </c>
      <c r="F12">
        <f>($B$2+$B$4)*(1-E12)</f>
        <v>14198.4</v>
      </c>
    </row>
    <row r="13">
      <c r="A13" t="inlineStr">
        <is>
          <t>2025-06</t>
        </is>
      </c>
      <c r="B13">
        <v>0.019</v>
      </c>
      <c r="C13">
        <f>$B$2*(1-B13)</f>
        <v>11575.8</v>
      </c>
      <c r="D13">
        <f>($B$2+$B$3)*(1-B13)</f>
        <v>13341.6</v>
      </c>
      <c r="E13">
        <f>MAX(B13-$B$5,0)</f>
        <v>0.015</v>
      </c>
      <c r="F13">
        <f>($B$2+$B$4)*(1-E13)</f>
        <v>14184.0</v>
      </c>
    </row>
    <row r="14">
      <c r="A14" t="inlineStr">
        <is>
          <t>2025-07</t>
        </is>
      </c>
      <c r="B14">
        <v>0.017</v>
      </c>
      <c r="C14">
        <f>$B$2*(1-B14)</f>
        <v>11599.4</v>
      </c>
      <c r="D14">
        <f>($B$2+$B$3)*(1-B14)</f>
        <v>13368.8</v>
      </c>
      <c r="E14">
        <f>MAX(B14-$B$5,0)</f>
        <v>0.013000000000000001</v>
      </c>
      <c r="F14">
        <f>($B$2+$B$4)*(1-E14)</f>
        <v>14212.8</v>
      </c>
    </row>
    <row r="15">
      <c r="A15" t="inlineStr">
        <is>
          <t>2025-08</t>
        </is>
      </c>
      <c r="B15">
        <v>0.016</v>
      </c>
      <c r="C15">
        <f>$B$2*(1-B15)</f>
        <v>11611.2</v>
      </c>
      <c r="D15">
        <f>($B$2+$B$3)*(1-B15)</f>
        <v>13382.4</v>
      </c>
      <c r="E15">
        <f>MAX(B15-$B$5,0)</f>
        <v>0.012</v>
      </c>
      <c r="F15">
        <f>($B$2+$B$4)*(1-E15)</f>
        <v>14227.2</v>
      </c>
    </row>
    <row r="16">
      <c r="A16" t="inlineStr">
        <is>
          <t>2025-09</t>
        </is>
      </c>
      <c r="B16">
        <v>0.015</v>
      </c>
      <c r="C16">
        <f>$B$2*(1-B16)</f>
        <v>11623.0</v>
      </c>
      <c r="D16">
        <f>($B$2+$B$3)*(1-B16)</f>
        <v>13396.0</v>
      </c>
      <c r="E16">
        <f>MAX(B16-$B$5,0)</f>
        <v>0.011</v>
      </c>
      <c r="F16">
        <f>($B$2+$B$4)*(1-E16)</f>
        <v>14241.6</v>
      </c>
    </row>
  </sheetData>
</worksheet>
</file>

<file path=xl/worksheets/sheet3.xml><?xml version="1.0" encoding="utf-8"?>
<worksheet xmlns="http://schemas.openxmlformats.org/spreadsheetml/2006/main">
  <dimension ref="A1:F16"/>
  <sheetData>
    <row r="1">
      <c r="A1" t="inlineStr">
        <is>
          <t>Planned replenishment and optional overflow supply</t>
        </is>
      </c>
    </row>
    <row r="2">
      <c r="A2" t="inlineStr">
        <is>
          <t>Opening inventory</t>
        </is>
      </c>
      <c r="B2">
        <v>10800</v>
      </c>
    </row>
    <row r="3">
      <c r="A3" t="inlineStr">
        <is>
          <t>Target service level</t>
        </is>
      </c>
      <c r="B3">
        <v>0.97</v>
      </c>
    </row>
    <row r="4">
      <c r="A4" t="inlineStr">
        <is>
          <t>Target buffer days</t>
        </is>
      </c>
      <c r="B4">
        <v>18</v>
      </c>
    </row>
    <row r="7">
      <c r="A7" t="inlineStr">
        <is>
          <t>Month</t>
        </is>
      </c>
      <c r="B7" t="inlineStr">
        <is>
          <t>Planned_Receipts</t>
        </is>
      </c>
      <c r="C7" t="inlineStr">
        <is>
          <t>Supplier_Fill_Rate</t>
        </is>
      </c>
      <c r="D7" t="inlineStr">
        <is>
          <t>Baseline_Net_Receipts</t>
        </is>
      </c>
      <c r="E7" t="inlineStr">
        <is>
          <t>Lease_Extra_Receipts</t>
        </is>
      </c>
      <c r="F7" t="inlineStr">
        <is>
          <t>Rack_Extra_Receipts</t>
        </is>
      </c>
    </row>
    <row r="8">
      <c r="A8" t="inlineStr">
        <is>
          <t>2025-01</t>
        </is>
      </c>
      <c r="B8">
        <v>6200</v>
      </c>
      <c r="C8">
        <v>0.95</v>
      </c>
      <c r="D8">
        <f>B8*C8</f>
        <v>5890.0</v>
      </c>
      <c r="E8">
        <v>0</v>
      </c>
      <c r="F8">
        <v>0</v>
      </c>
    </row>
    <row r="9">
      <c r="A9" t="inlineStr">
        <is>
          <t>2025-02</t>
        </is>
      </c>
      <c r="B9">
        <v>6400</v>
      </c>
      <c r="C9">
        <v>0.96</v>
      </c>
      <c r="D9">
        <f>B9*C9</f>
        <v>6144.0</v>
      </c>
      <c r="E9">
        <v>0</v>
      </c>
      <c r="F9">
        <v>0</v>
      </c>
    </row>
    <row r="10">
      <c r="A10" t="inlineStr">
        <is>
          <t>2025-03</t>
        </is>
      </c>
      <c r="B10">
        <v>6100</v>
      </c>
      <c r="C10">
        <v>0.97</v>
      </c>
      <c r="D10">
        <f>B10*C10</f>
        <v>5917.0</v>
      </c>
      <c r="E10">
        <v>0</v>
      </c>
      <c r="F10">
        <v>0</v>
      </c>
    </row>
    <row r="11">
      <c r="A11" t="inlineStr">
        <is>
          <t>2025-04</t>
        </is>
      </c>
      <c r="B11">
        <v>6800</v>
      </c>
      <c r="C11">
        <v>0.95</v>
      </c>
      <c r="D11">
        <f>B11*C11</f>
        <v>6460.0</v>
      </c>
      <c r="E11">
        <v>900</v>
      </c>
      <c r="F11">
        <v>500</v>
      </c>
    </row>
    <row r="12">
      <c r="A12" t="inlineStr">
        <is>
          <t>2025-05</t>
        </is>
      </c>
      <c r="B12">
        <v>7000</v>
      </c>
      <c r="C12">
        <v>0.94</v>
      </c>
      <c r="D12">
        <f>B12*C12</f>
        <v>6580.0</v>
      </c>
      <c r="E12">
        <v>1100</v>
      </c>
      <c r="F12">
        <v>700</v>
      </c>
    </row>
    <row r="13">
      <c r="A13" t="inlineStr">
        <is>
          <t>2025-06</t>
        </is>
      </c>
      <c r="B13">
        <v>7300</v>
      </c>
      <c r="C13">
        <v>0.95</v>
      </c>
      <c r="D13">
        <f>B13*C13</f>
        <v>6935.0</v>
      </c>
      <c r="E13">
        <v>1200</v>
      </c>
      <c r="F13">
        <v>800</v>
      </c>
    </row>
    <row r="14">
      <c r="A14" t="inlineStr">
        <is>
          <t>2025-07</t>
        </is>
      </c>
      <c r="B14">
        <v>7100</v>
      </c>
      <c r="C14">
        <v>0.96</v>
      </c>
      <c r="D14">
        <f>B14*C14</f>
        <v>6816.0</v>
      </c>
      <c r="E14">
        <v>900</v>
      </c>
      <c r="F14">
        <v>900</v>
      </c>
    </row>
    <row r="15">
      <c r="A15" t="inlineStr">
        <is>
          <t>2025-08</t>
        </is>
      </c>
      <c r="B15">
        <v>6900</v>
      </c>
      <c r="C15">
        <v>0.97</v>
      </c>
      <c r="D15">
        <f>B15*C15</f>
        <v>6693.0</v>
      </c>
      <c r="E15">
        <v>800</v>
      </c>
      <c r="F15">
        <v>900</v>
      </c>
    </row>
    <row r="16">
      <c r="A16" t="inlineStr">
        <is>
          <t>2025-09</t>
        </is>
      </c>
      <c r="B16">
        <v>7200</v>
      </c>
      <c r="C16">
        <v>0.97</v>
      </c>
      <c r="D16">
        <f>B16*C16</f>
        <v>6984.0</v>
      </c>
      <c r="E16">
        <v>700</v>
      </c>
      <c r="F16">
        <v>900</v>
      </c>
    </row>
  </sheetData>
</worksheet>
</file>

<file path=xl/worksheets/sheet4.xml><?xml version="1.0" encoding="utf-8"?>
<worksheet xmlns="http://schemas.openxmlformats.org/spreadsheetml/2006/main">
  <dimension ref="A1:L16"/>
  <sheetData>
    <row r="1">
      <c r="A1" t="inlineStr">
        <is>
          <t>Monthly inventory rollforward under baseline capacity</t>
        </is>
      </c>
    </row>
    <row r="2">
      <c r="A2" t="inlineStr">
        <is>
          <t>Target service level link</t>
        </is>
      </c>
      <c r="B2">
        <f>Replenishment_Plan!$B$3</f>
        <v>0.97</v>
      </c>
    </row>
    <row r="3">
      <c r="A3" t="inlineStr">
        <is>
          <t>Average closing inventory</t>
        </is>
      </c>
      <c r="B3">
        <f>AVERAGE(I8:I16)</f>
        <v>1148.111111111111</v>
      </c>
    </row>
    <row r="4">
      <c r="A4" t="inlineStr">
        <is>
          <t>Months below target service</t>
        </is>
      </c>
      <c r="B4">
        <f>COUNTIF(J8:J16,"&lt;"&amp;B2)</f>
        <v>7</v>
      </c>
    </row>
    <row r="7">
      <c r="A7" t="inlineStr">
        <is>
          <t>Month</t>
        </is>
      </c>
      <c r="B7" t="inlineStr">
        <is>
          <t>Opening_Inventory</t>
        </is>
      </c>
      <c r="C7" t="inlineStr">
        <is>
          <t>Net_Receipts</t>
        </is>
      </c>
      <c r="D7" t="inlineStr">
        <is>
          <t>Gross_Stock</t>
        </is>
      </c>
      <c r="E7" t="inlineStr">
        <is>
          <t>Loss_Units</t>
        </is>
      </c>
      <c r="F7" t="inlineStr">
        <is>
          <t>Net_Available</t>
        </is>
      </c>
      <c r="G7" t="inlineStr">
        <is>
          <t>Baseline_Demand</t>
        </is>
      </c>
      <c r="H7" t="inlineStr">
        <is>
          <t>Shipments_Fulfilled</t>
        </is>
      </c>
      <c r="I7" t="inlineStr">
        <is>
          <t>Closing_Inventory</t>
        </is>
      </c>
      <c r="J7" t="inlineStr">
        <is>
          <t>Service_Level</t>
        </is>
      </c>
      <c r="K7" t="inlineStr">
        <is>
          <t>Capacity_Utilization</t>
        </is>
      </c>
      <c r="L7" t="inlineStr">
        <is>
          <t>Buffer_Days_On_Hand</t>
        </is>
      </c>
    </row>
    <row r="8">
      <c r="A8" t="inlineStr">
        <is>
          <t>2025-01</t>
        </is>
      </c>
      <c r="B8">
        <f>Replenishment_Plan!$B$2</f>
        <v>10800</v>
      </c>
      <c r="C8">
        <f>Replenishment_Plan!D8</f>
        <v>5890.0</v>
      </c>
      <c r="D8">
        <f>B8+C8</f>
        <v>16690.0</v>
      </c>
      <c r="E8">
        <f>ROUND(D8*Capacity_Loss!B8,0)</f>
        <v>200</v>
      </c>
      <c r="F8">
        <f>D8-E8</f>
        <v>16490.0</v>
      </c>
      <c r="G8">
        <f>Shipment_Forecast!C8</f>
        <v>9450.0</v>
      </c>
      <c r="H8">
        <f>MIN(G8,F8)</f>
        <v>9450.0</v>
      </c>
      <c r="I8">
        <f>MIN(Capacity_Loss!C8,F8-H8)</f>
        <v>7040.0</v>
      </c>
      <c r="J8">
        <f>H8/G8</f>
        <v>1.0</v>
      </c>
      <c r="K8">
        <f>I8/Capacity_Loss!C8</f>
        <v>0.6038564468537707</v>
      </c>
      <c r="L8">
        <f>IF(G8=0,0,I8/(G8/30))</f>
        <v>22.349206349206348</v>
      </c>
    </row>
    <row r="9">
      <c r="A9" t="inlineStr">
        <is>
          <t>2025-02</t>
        </is>
      </c>
      <c r="B9">
        <f>I8</f>
        <v>7040.0</v>
      </c>
      <c r="C9">
        <f>Replenishment_Plan!D9</f>
        <v>6144.0</v>
      </c>
      <c r="D9">
        <f>B9+C9</f>
        <v>13184.0</v>
      </c>
      <c r="E9">
        <f>ROUND(D9*Capacity_Loss!B9,0)</f>
        <v>171</v>
      </c>
      <c r="F9">
        <f>D9-E9</f>
        <v>13013.0</v>
      </c>
      <c r="G9">
        <f>Shipment_Forecast!C9</f>
        <v>9720.0</v>
      </c>
      <c r="H9">
        <f>MIN(G9,F9)</f>
        <v>9720.0</v>
      </c>
      <c r="I9">
        <f>MIN(Capacity_Loss!C9,F9-H9)</f>
        <v>3293.0</v>
      </c>
      <c r="J9">
        <f>H9/G9</f>
        <v>1.0</v>
      </c>
      <c r="K9">
        <f>I9/Capacity_Loss!C9</f>
        <v>0.28274346161111397</v>
      </c>
      <c r="L9">
        <f>IF(G9=0,0,I9/(G9/30))</f>
        <v>10.16358024691358</v>
      </c>
    </row>
    <row r="10">
      <c r="A10" t="inlineStr">
        <is>
          <t>2025-03</t>
        </is>
      </c>
      <c r="B10">
        <f>I9</f>
        <v>3293.0</v>
      </c>
      <c r="C10">
        <f>Replenishment_Plan!D10</f>
        <v>5917.0</v>
      </c>
      <c r="D10">
        <f>B10+C10</f>
        <v>9210.0</v>
      </c>
      <c r="E10">
        <f>ROUND(D10*Capacity_Loss!B10,0)</f>
        <v>120</v>
      </c>
      <c r="F10">
        <f>D10-E10</f>
        <v>9090.0</v>
      </c>
      <c r="G10">
        <f>Shipment_Forecast!C10</f>
        <v>10010.0</v>
      </c>
      <c r="H10">
        <f>MIN(G10,F10)</f>
        <v>9090.0</v>
      </c>
      <c r="I10">
        <f>MIN(Capacity_Loss!C10,F10-H10)</f>
        <v>0.0</v>
      </c>
      <c r="J10">
        <f>H10/G10</f>
        <v>0.9080919080919081</v>
      </c>
      <c r="K10">
        <f>I10/Capacity_Loss!C10</f>
        <v>0.0</v>
      </c>
      <c r="L10">
        <f>IF(G10=0,0,I10/(G10/30))</f>
        <v>0.0</v>
      </c>
    </row>
    <row r="11">
      <c r="A11" t="inlineStr">
        <is>
          <t>2025-04</t>
        </is>
      </c>
      <c r="B11">
        <f>I10</f>
        <v>0.0</v>
      </c>
      <c r="C11">
        <f>Replenishment_Plan!D11</f>
        <v>6460.0</v>
      </c>
      <c r="D11">
        <f>B11+C11</f>
        <v>6460.0</v>
      </c>
      <c r="E11">
        <f>ROUND(D11*Capacity_Loss!B11,0)</f>
        <v>97</v>
      </c>
      <c r="F11">
        <f>D11-E11</f>
        <v>6363.0</v>
      </c>
      <c r="G11">
        <f>Shipment_Forecast!C11</f>
        <v>10260.25</v>
      </c>
      <c r="H11">
        <f>MIN(G11,F11)</f>
        <v>6363.0</v>
      </c>
      <c r="I11">
        <f>MIN(Capacity_Loss!C11,F11-H11)</f>
        <v>0.0</v>
      </c>
      <c r="J11">
        <f>H11/G11</f>
        <v>0.6201603274774007</v>
      </c>
      <c r="K11">
        <f>I11/Capacity_Loss!C11</f>
        <v>0.0</v>
      </c>
      <c r="L11">
        <f>IF(G11=0,0,I11/(G11/30))</f>
        <v>0.0</v>
      </c>
    </row>
    <row r="12">
      <c r="A12" t="inlineStr">
        <is>
          <t>2025-05</t>
        </is>
      </c>
      <c r="B12">
        <f>I11</f>
        <v>0.0</v>
      </c>
      <c r="C12">
        <f>Replenishment_Plan!D12</f>
        <v>6580.0</v>
      </c>
      <c r="D12">
        <f>B12+C12</f>
        <v>6580.0</v>
      </c>
      <c r="E12">
        <f>ROUND(D12*Capacity_Loss!B12,0)</f>
        <v>118</v>
      </c>
      <c r="F12">
        <f>D12-E12</f>
        <v>6462.0</v>
      </c>
      <c r="G12">
        <f>Shipment_Forecast!C12</f>
        <v>10516.756249999999</v>
      </c>
      <c r="H12">
        <f>MIN(G12,F12)</f>
        <v>6462.0</v>
      </c>
      <c r="I12">
        <f>MIN(Capacity_Loss!C12,F12-H12)</f>
        <v>0.0</v>
      </c>
      <c r="J12">
        <f>H12/G12</f>
        <v>0.6144480148049453</v>
      </c>
      <c r="K12">
        <f>I12/Capacity_Loss!C12</f>
        <v>0.0</v>
      </c>
      <c r="L12">
        <f>IF(G12=0,0,I12/(G12/30))</f>
        <v>0.0</v>
      </c>
    </row>
    <row r="13">
      <c r="A13" t="inlineStr">
        <is>
          <t>2025-06</t>
        </is>
      </c>
      <c r="B13">
        <f>I12</f>
        <v>0.0</v>
      </c>
      <c r="C13">
        <f>Replenishment_Plan!D13</f>
        <v>6935.0</v>
      </c>
      <c r="D13">
        <f>B13+C13</f>
        <v>6935.0</v>
      </c>
      <c r="E13">
        <f>ROUND(D13*Capacity_Loss!B13,0)</f>
        <v>132</v>
      </c>
      <c r="F13">
        <f>D13-E13</f>
        <v>6803.0</v>
      </c>
      <c r="G13">
        <f>Shipment_Forecast!C13</f>
        <v>10779.675156249998</v>
      </c>
      <c r="H13">
        <f>MIN(G13,F13)</f>
        <v>6803.0</v>
      </c>
      <c r="I13">
        <f>MIN(Capacity_Loss!C13,F13-H13)</f>
        <v>0.0</v>
      </c>
      <c r="J13">
        <f>H13/G13</f>
        <v>0.6310950841645406</v>
      </c>
      <c r="K13">
        <f>I13/Capacity_Loss!C13</f>
        <v>0.0</v>
      </c>
      <c r="L13">
        <f>IF(G13=0,0,I13/(G13/30))</f>
        <v>0.0</v>
      </c>
    </row>
    <row r="14">
      <c r="A14" t="inlineStr">
        <is>
          <t>2025-07</t>
        </is>
      </c>
      <c r="B14">
        <f>I13</f>
        <v>0.0</v>
      </c>
      <c r="C14">
        <f>Replenishment_Plan!D14</f>
        <v>6816.0</v>
      </c>
      <c r="D14">
        <f>B14+C14</f>
        <v>6816.0</v>
      </c>
      <c r="E14">
        <f>ROUND(D14*Capacity_Loss!B14,0)</f>
        <v>116</v>
      </c>
      <c r="F14">
        <f>D14-E14</f>
        <v>6700.0</v>
      </c>
      <c r="G14">
        <f>Shipment_Forecast!C14</f>
        <v>11049.167035156246</v>
      </c>
      <c r="H14">
        <f>MIN(G14,F14)</f>
        <v>6700.0</v>
      </c>
      <c r="I14">
        <f>MIN(Capacity_Loss!C14,F14-H14)</f>
        <v>0.0</v>
      </c>
      <c r="J14">
        <f>H14/G14</f>
        <v>0.6063805514643715</v>
      </c>
      <c r="K14">
        <f>I14/Capacity_Loss!C14</f>
        <v>0.0</v>
      </c>
      <c r="L14">
        <f>IF(G14=0,0,I14/(G14/30))</f>
        <v>0.0</v>
      </c>
    </row>
    <row r="15">
      <c r="A15" t="inlineStr">
        <is>
          <t>2025-08</t>
        </is>
      </c>
      <c r="B15">
        <f>I14</f>
        <v>0.0</v>
      </c>
      <c r="C15">
        <f>Replenishment_Plan!D15</f>
        <v>6693.0</v>
      </c>
      <c r="D15">
        <f>B15+C15</f>
        <v>6693.0</v>
      </c>
      <c r="E15">
        <f>ROUND(D15*Capacity_Loss!B15,0)</f>
        <v>107</v>
      </c>
      <c r="F15">
        <f>D15-E15</f>
        <v>6586.0</v>
      </c>
      <c r="G15">
        <f>Shipment_Forecast!C15</f>
        <v>11325.396211035151</v>
      </c>
      <c r="H15">
        <f>MIN(G15,F15)</f>
        <v>6586.0</v>
      </c>
      <c r="I15">
        <f>MIN(Capacity_Loss!C15,F15-H15)</f>
        <v>0.0</v>
      </c>
      <c r="J15">
        <f>H15/G15</f>
        <v>0.5815249089107174</v>
      </c>
      <c r="K15">
        <f>I15/Capacity_Loss!C15</f>
        <v>0.0</v>
      </c>
      <c r="L15">
        <f>IF(G15=0,0,I15/(G15/30))</f>
        <v>0.0</v>
      </c>
    </row>
    <row r="16">
      <c r="A16" t="inlineStr">
        <is>
          <t>2025-09</t>
        </is>
      </c>
      <c r="B16">
        <f>I15</f>
        <v>0.0</v>
      </c>
      <c r="C16">
        <f>Replenishment_Plan!D16</f>
        <v>6984.0</v>
      </c>
      <c r="D16">
        <f>B16+C16</f>
        <v>6984.0</v>
      </c>
      <c r="E16">
        <f>ROUND(D16*Capacity_Loss!B16,0)</f>
        <v>105</v>
      </c>
      <c r="F16">
        <f>D16-E16</f>
        <v>6879.0</v>
      </c>
      <c r="G16">
        <f>Shipment_Forecast!C16</f>
        <v>11608.53111631103</v>
      </c>
      <c r="H16">
        <f>MIN(G16,F16)</f>
        <v>6879.0</v>
      </c>
      <c r="I16">
        <f>MIN(Capacity_Loss!C16,F16-H16)</f>
        <v>0.0</v>
      </c>
      <c r="J16">
        <f>H16/G16</f>
        <v>0.5925814326615696</v>
      </c>
      <c r="K16">
        <f>I16/Capacity_Loss!C16</f>
        <v>0.0</v>
      </c>
      <c r="L16">
        <f>IF(G16=0,0,I16/(G16/30))</f>
        <v>0.0</v>
      </c>
    </row>
  </sheetData>
</worksheet>
</file>

<file path=xl/worksheets/sheet5.xml><?xml version="1.0" encoding="utf-8"?>
<worksheet xmlns="http://schemas.openxmlformats.org/spreadsheetml/2006/main">
  <dimension ref="A1:J16"/>
  <sheetData>
    <row r="1">
      <c r="A1" t="inlineStr">
        <is>
          <t>Stress service gap and required safety stock</t>
        </is>
      </c>
    </row>
    <row r="2">
      <c r="A2" t="inlineStr">
        <is>
          <t>Target buffer days link</t>
        </is>
      </c>
      <c r="B2">
        <f>Replenishment_Plan!$B$4</f>
        <v>18</v>
      </c>
    </row>
    <row r="3">
      <c r="A3" t="inlineStr">
        <is>
          <t>Total unserved stress demand</t>
        </is>
      </c>
      <c r="B3">
        <f>SUM(D8:D16)</f>
        <v>32340.811176980136</v>
      </c>
    </row>
    <row r="4">
      <c r="A4" t="inlineStr">
        <is>
          <t>Maximum service level gap</t>
        </is>
      </c>
      <c r="B4">
        <f>MAX(G8:G16)</f>
        <v>0.43155101026785436</v>
      </c>
    </row>
    <row r="5">
      <c r="A5" t="inlineStr">
        <is>
          <t>Total buffer shortfall</t>
        </is>
      </c>
      <c r="B5">
        <f>SUM(J8:J16)</f>
        <v>51273.28670618808</v>
      </c>
    </row>
    <row r="7">
      <c r="A7" t="inlineStr">
        <is>
          <t>Month</t>
        </is>
      </c>
      <c r="B7" t="inlineStr">
        <is>
          <t>Stress_Demand</t>
        </is>
      </c>
      <c r="C7" t="inlineStr">
        <is>
          <t>Baseline_Fulfilled</t>
        </is>
      </c>
      <c r="D7" t="inlineStr">
        <is>
          <t>Unserved_Stress</t>
        </is>
      </c>
      <c r="E7" t="inlineStr">
        <is>
          <t>Stress_Service_Level</t>
        </is>
      </c>
      <c r="F7" t="inlineStr">
        <is>
          <t>Target_Service_Level</t>
        </is>
      </c>
      <c r="G7" t="inlineStr">
        <is>
          <t>Service_Level_Gap</t>
        </is>
      </c>
      <c r="H7" t="inlineStr">
        <is>
          <t>Required_Buffer_Units</t>
        </is>
      </c>
      <c r="I7" t="inlineStr">
        <is>
          <t>Actual_Closing_Inventory</t>
        </is>
      </c>
      <c r="J7" t="inlineStr">
        <is>
          <t>Buffer_Shortfall</t>
        </is>
      </c>
    </row>
    <row r="8">
      <c r="A8" t="inlineStr">
        <is>
          <t>2025-01</t>
        </is>
      </c>
      <c r="B8">
        <f>Shipment_Forecast!E8</f>
        <v>9450.0</v>
      </c>
      <c r="C8">
        <f>Inventory_Rollforward!H8</f>
        <v>9450.0</v>
      </c>
      <c r="D8">
        <f>MAX(B8-C8,0)</f>
        <v>0.0</v>
      </c>
      <c r="E8">
        <f>C8/B8</f>
        <v>1.0</v>
      </c>
      <c r="F8">
        <f>Replenishment_Plan!$B$3</f>
        <v>0.97</v>
      </c>
      <c r="G8">
        <f>MAX(F8-E8,0)</f>
        <v>0</v>
      </c>
      <c r="H8">
        <f>B8/30*$B$2</f>
        <v>5670.0</v>
      </c>
      <c r="I8">
        <f>Inventory_Rollforward!I8</f>
        <v>7040.0</v>
      </c>
      <c r="J8">
        <f>MAX(H8-I8,0)</f>
        <v>0</v>
      </c>
    </row>
    <row r="9">
      <c r="A9" t="inlineStr">
        <is>
          <t>2025-02</t>
        </is>
      </c>
      <c r="B9">
        <f>Shipment_Forecast!E9</f>
        <v>9720.0</v>
      </c>
      <c r="C9">
        <f>Inventory_Rollforward!H9</f>
        <v>9720.0</v>
      </c>
      <c r="D9">
        <f>MAX(B9-C9,0)</f>
        <v>0.0</v>
      </c>
      <c r="E9">
        <f>C9/B9</f>
        <v>1.0</v>
      </c>
      <c r="F9">
        <f>Replenishment_Plan!$B$3</f>
        <v>0.97</v>
      </c>
      <c r="G9">
        <f>MAX(F9-E9,0)</f>
        <v>0</v>
      </c>
      <c r="H9">
        <f>B9/30*$B$2</f>
        <v>5832.0</v>
      </c>
      <c r="I9">
        <f>Inventory_Rollforward!I9</f>
        <v>3293.0</v>
      </c>
      <c r="J9">
        <f>MAX(H9-I9,0)</f>
        <v>2539.0</v>
      </c>
    </row>
    <row r="10">
      <c r="A10" t="inlineStr">
        <is>
          <t>2025-03</t>
        </is>
      </c>
      <c r="B10">
        <f>Shipment_Forecast!E10</f>
        <v>10010.0</v>
      </c>
      <c r="C10">
        <f>Inventory_Rollforward!H10</f>
        <v>9090.0</v>
      </c>
      <c r="D10">
        <f>MAX(B10-C10,0)</f>
        <v>920.0</v>
      </c>
      <c r="E10">
        <f>C10/B10</f>
        <v>0.9080919080919081</v>
      </c>
      <c r="F10">
        <f>Replenishment_Plan!$B$3</f>
        <v>0.97</v>
      </c>
      <c r="G10">
        <f>MAX(F10-E10,0)</f>
        <v>0.06190809190809188</v>
      </c>
      <c r="H10">
        <f>B10/30*$B$2</f>
        <v>6006.0</v>
      </c>
      <c r="I10">
        <f>Inventory_Rollforward!I10</f>
        <v>0.0</v>
      </c>
      <c r="J10">
        <f>MAX(H10-I10,0)</f>
        <v>6006.0</v>
      </c>
    </row>
    <row r="11">
      <c r="A11" t="inlineStr">
        <is>
          <t>2025-04</t>
        </is>
      </c>
      <c r="B11">
        <f>Shipment_Forecast!E11</f>
        <v>10978.4675</v>
      </c>
      <c r="C11">
        <f>Inventory_Rollforward!H11</f>
        <v>6363.0</v>
      </c>
      <c r="D11">
        <f>MAX(B11-C11,0)</f>
        <v>4615.467500000001</v>
      </c>
      <c r="E11">
        <f>C11/B11</f>
        <v>0.5795890911003744</v>
      </c>
      <c r="F11">
        <f>Replenishment_Plan!$B$3</f>
        <v>0.97</v>
      </c>
      <c r="G11">
        <f>MAX(F11-E11,0)</f>
        <v>0.3904109088996256</v>
      </c>
      <c r="H11">
        <f>B11/30*$B$2</f>
        <v>6587.0805</v>
      </c>
      <c r="I11">
        <f>Inventory_Rollforward!I11</f>
        <v>0.0</v>
      </c>
      <c r="J11">
        <f>MAX(H11-I11,0)</f>
        <v>6587.0805</v>
      </c>
    </row>
    <row r="12">
      <c r="A12" t="inlineStr">
        <is>
          <t>2025-05</t>
        </is>
      </c>
      <c r="B12">
        <f>Shipment_Forecast!E12</f>
        <v>11463.2643125</v>
      </c>
      <c r="C12">
        <f>Inventory_Rollforward!H12</f>
        <v>6462.0</v>
      </c>
      <c r="D12">
        <f>MAX(B12-C12,0)</f>
        <v>5001.2643124999995</v>
      </c>
      <c r="E12">
        <f>C12/B12</f>
        <v>0.5637137750504084</v>
      </c>
      <c r="F12">
        <f>Replenishment_Plan!$B$3</f>
        <v>0.97</v>
      </c>
      <c r="G12">
        <f>MAX(F12-E12,0)</f>
        <v>0.40628622494959155</v>
      </c>
      <c r="H12">
        <f>B12/30*$B$2</f>
        <v>6877.958587499999</v>
      </c>
      <c r="I12">
        <f>Inventory_Rollforward!I12</f>
        <v>0.0</v>
      </c>
      <c r="J12">
        <f>MAX(H12-I12,0)</f>
        <v>6877.958587499999</v>
      </c>
    </row>
    <row r="13">
      <c r="A13" t="inlineStr">
        <is>
          <t>2025-06</t>
        </is>
      </c>
      <c r="B13">
        <f>Shipment_Forecast!E13</f>
        <v>11965.439423437498</v>
      </c>
      <c r="C13">
        <f>Inventory_Rollforward!H13</f>
        <v>6803.0</v>
      </c>
      <c r="D13">
        <f>MAX(B13-C13,0)</f>
        <v>5162.439423437498</v>
      </c>
      <c r="E13">
        <f>C13/B13</f>
        <v>0.5685541298779645</v>
      </c>
      <c r="F13">
        <f>Replenishment_Plan!$B$3</f>
        <v>0.97</v>
      </c>
      <c r="G13">
        <f>MAX(F13-E13,0)</f>
        <v>0.4014458701220355</v>
      </c>
      <c r="H13">
        <f>B13/30*$B$2</f>
        <v>7179.263654062499</v>
      </c>
      <c r="I13">
        <f>Inventory_Rollforward!I13</f>
        <v>0.0</v>
      </c>
      <c r="J13">
        <f>MAX(H13-I13,0)</f>
        <v>7179.263654062499</v>
      </c>
    </row>
    <row r="14">
      <c r="A14" t="inlineStr">
        <is>
          <t>2025-07</t>
        </is>
      </c>
      <c r="B14">
        <f>Shipment_Forecast!E14</f>
        <v>12154.083738671872</v>
      </c>
      <c r="C14">
        <f>Inventory_Rollforward!H14</f>
        <v>6700.0</v>
      </c>
      <c r="D14">
        <f>MAX(B14-C14,0)</f>
        <v>5454.083738671872</v>
      </c>
      <c r="E14">
        <f>C14/B14</f>
        <v>0.5512550467857923</v>
      </c>
      <c r="F14">
        <f>Replenishment_Plan!$B$3</f>
        <v>0.97</v>
      </c>
      <c r="G14">
        <f>MAX(F14-E14,0)</f>
        <v>0.4187449532142077</v>
      </c>
      <c r="H14">
        <f>B14/30*$B$2</f>
        <v>7292.450243203124</v>
      </c>
      <c r="I14">
        <f>Inventory_Rollforward!I14</f>
        <v>0.0</v>
      </c>
      <c r="J14">
        <f>MAX(H14-I14,0)</f>
        <v>7292.450243203124</v>
      </c>
    </row>
    <row r="15">
      <c r="A15" t="inlineStr">
        <is>
          <t>2025-08</t>
        </is>
      </c>
      <c r="B15">
        <f>Shipment_Forecast!E15</f>
        <v>12231.427907917965</v>
      </c>
      <c r="C15">
        <f>Inventory_Rollforward!H15</f>
        <v>6586.0</v>
      </c>
      <c r="D15">
        <f>MAX(B15-C15,0)</f>
        <v>5645.427907917965</v>
      </c>
      <c r="E15">
        <f>C15/B15</f>
        <v>0.5384489897321456</v>
      </c>
      <c r="F15">
        <f>Replenishment_Plan!$B$3</f>
        <v>0.97</v>
      </c>
      <c r="G15">
        <f>MAX(F15-E15,0)</f>
        <v>0.43155101026785436</v>
      </c>
      <c r="H15">
        <f>B15/30*$B$2</f>
        <v>7338.856744750779</v>
      </c>
      <c r="I15">
        <f>Inventory_Rollforward!I15</f>
        <v>0.0</v>
      </c>
      <c r="J15">
        <f>MAX(H15-I15,0)</f>
        <v>7338.856744750779</v>
      </c>
    </row>
    <row r="16">
      <c r="A16" t="inlineStr">
        <is>
          <t>2025-09</t>
        </is>
      </c>
      <c r="B16">
        <f>Shipment_Forecast!E16</f>
        <v>12421.128294452801</v>
      </c>
      <c r="C16">
        <f>Inventory_Rollforward!H16</f>
        <v>6879.0</v>
      </c>
      <c r="D16">
        <f>MAX(B16-C16,0)</f>
        <v>5542.128294452801</v>
      </c>
      <c r="E16">
        <f>C16/B16</f>
        <v>0.553814423048196</v>
      </c>
      <c r="F16">
        <f>Replenishment_Plan!$B$3</f>
        <v>0.97</v>
      </c>
      <c r="G16">
        <f>MAX(F16-E16,0)</f>
        <v>0.416185576951804</v>
      </c>
      <c r="H16">
        <f>B16/30*$B$2</f>
        <v>7452.676976671681</v>
      </c>
      <c r="I16">
        <f>Inventory_Rollforward!I16</f>
        <v>0.0</v>
      </c>
      <c r="J16">
        <f>MAX(H16-I16,0)</f>
        <v>7452.676976671681</v>
      </c>
    </row>
  </sheetData>
</worksheet>
</file>

<file path=xl/worksheets/sheet6.xml><?xml version="1.0" encoding="utf-8"?>
<worksheet xmlns="http://schemas.openxmlformats.org/spreadsheetml/2006/main">
  <dimension ref="A1:J16"/>
  <sheetData>
    <row r="1">
      <c r="A1" t="inlineStr">
        <is>
          <t>Expansion option comparison for protected buffer units</t>
        </is>
      </c>
    </row>
    <row r="2">
      <c r="A2" t="inlineStr">
        <is>
          <t>Lease cost per protected unit</t>
        </is>
      </c>
      <c r="B2">
        <v>22</v>
      </c>
    </row>
    <row r="3">
      <c r="A3" t="inlineStr">
        <is>
          <t>Rack cost per protected unit</t>
        </is>
      </c>
      <c r="B3">
        <v>46</v>
      </c>
    </row>
    <row r="5">
      <c r="A5" t="inlineStr">
        <is>
          <t>Total lease coverage</t>
        </is>
      </c>
      <c r="B5">
        <f>SUM(C8:C16)</f>
        <v>19773.2</v>
      </c>
    </row>
    <row r="6">
      <c r="A6" t="inlineStr">
        <is>
          <t>Total rack coverage</t>
        </is>
      </c>
      <c r="B6">
        <f>SUM(E8:E16)</f>
        <v>25218.0</v>
      </c>
    </row>
    <row r="7">
      <c r="A7" t="inlineStr">
        <is>
          <t>Month</t>
        </is>
      </c>
      <c r="B7" t="inlineStr">
        <is>
          <t>Baseline_Buffer_Shortfall</t>
        </is>
      </c>
      <c r="C7" t="inlineStr">
        <is>
          <t>Lease_Coverage</t>
        </is>
      </c>
      <c r="D7" t="inlineStr">
        <is>
          <t>Lease_Remaining_Gap</t>
        </is>
      </c>
      <c r="E7" t="inlineStr">
        <is>
          <t>Rack_Coverage</t>
        </is>
      </c>
      <c r="F7" t="inlineStr">
        <is>
          <t>Rack_Remaining_Gap</t>
        </is>
      </c>
      <c r="G7" t="inlineStr">
        <is>
          <t>Lease_Cost</t>
        </is>
      </c>
      <c r="H7" t="inlineStr">
        <is>
          <t>Rack_Cost</t>
        </is>
      </c>
      <c r="I7" t="inlineStr">
        <is>
          <t>Lease_Cost_Per_Protected_Unit</t>
        </is>
      </c>
      <c r="J7" t="inlineStr">
        <is>
          <t>Rack_Cost_Per_Protected_Unit</t>
        </is>
      </c>
    </row>
    <row r="8">
      <c r="A8" t="inlineStr">
        <is>
          <t>2025-01</t>
        </is>
      </c>
      <c r="B8">
        <f>Service_Gap!J8</f>
        <v>0</v>
      </c>
      <c r="C8">
        <f>MIN(B8,Replenishment_Plan!E8+Capacity_Loss!$B$3*(1-Capacity_Loss!B8))</f>
        <v>0</v>
      </c>
      <c r="D8">
        <f>MAX(B8-C8,0)</f>
        <v>0</v>
      </c>
      <c r="E8">
        <f>MIN(B8,Replenishment_Plan!F8+Capacity_Loss!$B$4*(1-Capacity_Loss!E8))</f>
        <v>0</v>
      </c>
      <c r="F8">
        <f>MAX(B8-E8,0)</f>
        <v>0</v>
      </c>
      <c r="G8">
        <f>C8*$B$2</f>
        <v>0</v>
      </c>
      <c r="H8">
        <f>E8*$B$3</f>
        <v>0</v>
      </c>
      <c r="I8">
        <f>IF(C8=0,0,G8/C8)</f>
        <v>0</v>
      </c>
      <c r="J8">
        <f>IF(E8=0,0,H8/E8)</f>
        <v>0</v>
      </c>
    </row>
    <row r="9">
      <c r="A9" t="inlineStr">
        <is>
          <t>2025-02</t>
        </is>
      </c>
      <c r="B9">
        <f>Service_Gap!J9</f>
        <v>2539.0</v>
      </c>
      <c r="C9">
        <f>MIN(B9,Replenishment_Plan!E9+Capacity_Loss!$B$3*(1-Capacity_Loss!B9))</f>
        <v>1776.6</v>
      </c>
      <c r="D9">
        <f>MAX(B9-C9,0)</f>
        <v>762.4000000000001</v>
      </c>
      <c r="E9">
        <f>MIN(B9,Replenishment_Plan!F9+Capacity_Loss!$B$4*(1-Capacity_Loss!E9))</f>
        <v>2539.0</v>
      </c>
      <c r="F9">
        <f>MAX(B9-E9,0)</f>
        <v>0.0</v>
      </c>
      <c r="G9">
        <f>C9*$B$2</f>
        <v>39085.2</v>
      </c>
      <c r="H9">
        <f>E9*$B$3</f>
        <v>116794.0</v>
      </c>
      <c r="I9">
        <f>IF(C9=0,0,G9/C9)</f>
        <v>22.0</v>
      </c>
      <c r="J9">
        <f>IF(E9=0,0,H9/E9)</f>
        <v>46.0</v>
      </c>
    </row>
    <row r="10">
      <c r="A10" t="inlineStr">
        <is>
          <t>2025-03</t>
        </is>
      </c>
      <c r="B10">
        <f>Service_Gap!J10</f>
        <v>6006.0</v>
      </c>
      <c r="C10">
        <f>MIN(B10,Replenishment_Plan!E10+Capacity_Loss!$B$3*(1-Capacity_Loss!B10))</f>
        <v>1776.6</v>
      </c>
      <c r="D10">
        <f>MAX(B10-C10,0)</f>
        <v>4229.4</v>
      </c>
      <c r="E10">
        <f>MIN(B10,Replenishment_Plan!F10+Capacity_Loss!$B$4*(1-Capacity_Loss!E10))</f>
        <v>2576.6</v>
      </c>
      <c r="F10">
        <f>MAX(B10-E10,0)</f>
        <v>3429.4</v>
      </c>
      <c r="G10">
        <f>C10*$B$2</f>
        <v>39085.2</v>
      </c>
      <c r="H10">
        <f>E10*$B$3</f>
        <v>118523.59999999999</v>
      </c>
      <c r="I10">
        <f>IF(C10=0,0,G10/C10)</f>
        <v>22.0</v>
      </c>
      <c r="J10">
        <f>IF(E10=0,0,H10/E10)</f>
        <v>46.0</v>
      </c>
    </row>
    <row r="11">
      <c r="A11" t="inlineStr">
        <is>
          <t>2025-04</t>
        </is>
      </c>
      <c r="B11">
        <f>Service_Gap!J11</f>
        <v>6587.0805</v>
      </c>
      <c r="C11">
        <f>MIN(B11,Replenishment_Plan!E11+Capacity_Loss!$B$3*(1-Capacity_Loss!B11))</f>
        <v>2673.0</v>
      </c>
      <c r="D11">
        <f>MAX(B11-C11,0)</f>
        <v>3914.0805</v>
      </c>
      <c r="E11">
        <f>MIN(B11,Replenishment_Plan!F11+Capacity_Loss!$B$4*(1-Capacity_Loss!E11))</f>
        <v>3071.4</v>
      </c>
      <c r="F11">
        <f>MAX(B11-E11,0)</f>
        <v>3515.6805</v>
      </c>
      <c r="G11">
        <f>C11*$B$2</f>
        <v>58806.0</v>
      </c>
      <c r="H11">
        <f>E11*$B$3</f>
        <v>141284.4</v>
      </c>
      <c r="I11">
        <f>IF(C11=0,0,G11/C11)</f>
        <v>22.0</v>
      </c>
      <c r="J11">
        <f>IF(E11=0,0,H11/E11)</f>
        <v>46.0</v>
      </c>
    </row>
    <row r="12">
      <c r="A12" t="inlineStr">
        <is>
          <t>2025-05</t>
        </is>
      </c>
      <c r="B12">
        <f>Service_Gap!J12</f>
        <v>6877.958587499999</v>
      </c>
      <c r="C12">
        <f>MIN(B12,Replenishment_Plan!E12+Capacity_Loss!$B$3*(1-Capacity_Loss!B12))</f>
        <v>2867.6</v>
      </c>
      <c r="D12">
        <f>MAX(B12-C12,0)</f>
        <v>4010.3585874999994</v>
      </c>
      <c r="E12">
        <f>MIN(B12,Replenishment_Plan!F12+Capacity_Loss!$B$4*(1-Capacity_Loss!E12))</f>
        <v>3263.6</v>
      </c>
      <c r="F12">
        <f>MAX(B12-E12,0)</f>
        <v>3614.3585874999994</v>
      </c>
      <c r="G12">
        <f>C12*$B$2</f>
        <v>63087.2</v>
      </c>
      <c r="H12">
        <f>E12*$B$3</f>
        <v>150125.6</v>
      </c>
      <c r="I12">
        <f>IF(C12=0,0,G12/C12)</f>
        <v>22.0</v>
      </c>
      <c r="J12">
        <f>IF(E12=0,0,H12/E12)</f>
        <v>46.0</v>
      </c>
    </row>
    <row r="13">
      <c r="A13" t="inlineStr">
        <is>
          <t>2025-06</t>
        </is>
      </c>
      <c r="B13">
        <f>Service_Gap!J13</f>
        <v>7179.263654062499</v>
      </c>
      <c r="C13">
        <f>MIN(B13,Replenishment_Plan!E13+Capacity_Loss!$B$3*(1-Capacity_Loss!B13))</f>
        <v>2965.8</v>
      </c>
      <c r="D13">
        <f>MAX(B13-C13,0)</f>
        <v>4213.463654062499</v>
      </c>
      <c r="E13">
        <f>MIN(B13,Replenishment_Plan!F13+Capacity_Loss!$B$4*(1-Capacity_Loss!E13))</f>
        <v>3361.0</v>
      </c>
      <c r="F13">
        <f>MAX(B13-E13,0)</f>
        <v>3818.263654062499</v>
      </c>
      <c r="G13">
        <f>C13*$B$2</f>
        <v>65247.600000000006</v>
      </c>
      <c r="H13">
        <f>E13*$B$3</f>
        <v>154606.0</v>
      </c>
      <c r="I13">
        <f>IF(C13=0,0,G13/C13)</f>
        <v>22.0</v>
      </c>
      <c r="J13">
        <f>IF(E13=0,0,H13/E13)</f>
        <v>46.0</v>
      </c>
    </row>
    <row r="14">
      <c r="A14" t="inlineStr">
        <is>
          <t>2025-07</t>
        </is>
      </c>
      <c r="B14">
        <f>Service_Gap!J14</f>
        <v>7292.450243203124</v>
      </c>
      <c r="C14">
        <f>MIN(B14,Replenishment_Plan!E14+Capacity_Loss!$B$3*(1-Capacity_Loss!B14))</f>
        <v>2669.3999999999996</v>
      </c>
      <c r="D14">
        <f>MAX(B14-C14,0)</f>
        <v>4623.050243203124</v>
      </c>
      <c r="E14">
        <f>MIN(B14,Replenishment_Plan!F14+Capacity_Loss!$B$4*(1-Capacity_Loss!E14))</f>
        <v>3466.2</v>
      </c>
      <c r="F14">
        <f>MAX(B14-E14,0)</f>
        <v>3826.2502432031242</v>
      </c>
      <c r="G14">
        <f>C14*$B$2</f>
        <v>58726.79999999999</v>
      </c>
      <c r="H14">
        <f>E14*$B$3</f>
        <v>159445.19999999998</v>
      </c>
      <c r="I14">
        <f>IF(C14=0,0,G14/C14)</f>
        <v>22.0</v>
      </c>
      <c r="J14">
        <f>IF(E14=0,0,H14/E14)</f>
        <v>46.0</v>
      </c>
    </row>
    <row r="15">
      <c r="A15" t="inlineStr">
        <is>
          <t>2025-08</t>
        </is>
      </c>
      <c r="B15">
        <f>Service_Gap!J15</f>
        <v>7338.856744750779</v>
      </c>
      <c r="C15">
        <f>MIN(B15,Replenishment_Plan!E15+Capacity_Loss!$B$3*(1-Capacity_Loss!B15))</f>
        <v>2571.2</v>
      </c>
      <c r="D15">
        <f>MAX(B15-C15,0)</f>
        <v>4767.65674475078</v>
      </c>
      <c r="E15">
        <f>MIN(B15,Replenishment_Plan!F15+Capacity_Loss!$B$4*(1-Capacity_Loss!E15))</f>
        <v>3468.8</v>
      </c>
      <c r="F15">
        <f>MAX(B15-E15,0)</f>
        <v>3870.056744750779</v>
      </c>
      <c r="G15">
        <f>C15*$B$2</f>
        <v>56566.399999999994</v>
      </c>
      <c r="H15">
        <f>E15*$B$3</f>
        <v>159564.80000000002</v>
      </c>
      <c r="I15">
        <f>IF(C15=0,0,G15/C15)</f>
        <v>22.0</v>
      </c>
      <c r="J15">
        <f>IF(E15=0,0,H15/E15)</f>
        <v>46.0</v>
      </c>
    </row>
    <row r="16">
      <c r="A16" t="inlineStr">
        <is>
          <t>2025-09</t>
        </is>
      </c>
      <c r="B16">
        <f>Service_Gap!J16</f>
        <v>7452.676976671681</v>
      </c>
      <c r="C16">
        <f>MIN(B16,Replenishment_Plan!E16+Capacity_Loss!$B$3*(1-Capacity_Loss!B16))</f>
        <v>2473.0</v>
      </c>
      <c r="D16">
        <f>MAX(B16-C16,0)</f>
        <v>4979.676976671681</v>
      </c>
      <c r="E16">
        <f>MIN(B16,Replenishment_Plan!F16+Capacity_Loss!$B$4*(1-Capacity_Loss!E16))</f>
        <v>3471.4</v>
      </c>
      <c r="F16">
        <f>MAX(B16-E16,0)</f>
        <v>3981.2769766716806</v>
      </c>
      <c r="G16">
        <f>C16*$B$2</f>
        <v>54406.0</v>
      </c>
      <c r="H16">
        <f>E16*$B$3</f>
        <v>159684.4</v>
      </c>
      <c r="I16">
        <f>IF(C16=0,0,G16/C16)</f>
        <v>22.0</v>
      </c>
      <c r="J16">
        <f>IF(E16=0,0,H16/E16)</f>
        <v>46.0</v>
      </c>
    </row>
  </sheetData>
</worksheet>
</file>