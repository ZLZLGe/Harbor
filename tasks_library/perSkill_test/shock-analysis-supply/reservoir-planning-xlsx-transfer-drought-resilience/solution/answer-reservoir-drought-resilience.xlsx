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flow_Plan" sheetId="1" r:id="rId1"/>
    <sheet name="Loss_Factors" sheetId="2" r:id="rId2"/>
    <sheet name="Demand_Forecast" sheetId="3" r:id="rId3"/>
    <sheet name="Project_Phases" sheetId="4" r:id="rId4"/>
    <sheet name="Storage_Rolling" sheetId="5" r:id="rId5"/>
    <sheet name="Restriction_Risk" sheetId="6" r:id="rId6"/>
  </sheets>
  <calcPr calcId="171027" fullCalcOnLoad="1"/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16"/>
  <sheetData>
    <row r="1">
      <c r="A1" t="inlineStr">
        <is>
          <t>Reservoir inflow planning under drought conditions</t>
        </is>
      </c>
    </row>
    <row r="2">
      <c r="A2" t="inlineStr">
        <is>
          <t>Drought inflow factor</t>
        </is>
      </c>
      <c r="B2">
        <v>0.92</v>
      </c>
    </row>
    <row r="7">
      <c r="A7" t="inlineStr">
        <is>
          <t>Month</t>
        </is>
      </c>
      <c r="B7" t="inlineStr">
        <is>
          <t>Actual_Inflow</t>
        </is>
      </c>
      <c r="C7" t="inlineStr">
        <is>
          <t>Seasonal_Factor</t>
        </is>
      </c>
      <c r="D7" t="inlineStr">
        <is>
          <t>Baseline_Inflow</t>
        </is>
      </c>
      <c r="E7" t="inlineStr">
        <is>
          <t>Resilience_Inflow</t>
        </is>
      </c>
    </row>
    <row r="8">
      <c r="A8" t="inlineStr">
        <is>
          <t>2027-01</t>
        </is>
      </c>
      <c r="B8">
        <v>61.5</v>
      </c>
      <c r="C8">
        <v>1.0</v>
      </c>
      <c r="D8">
        <f>B8</f>
        <v>61.5</v>
      </c>
      <c r="E8">
        <f>D8+Project_Phases!C8</f>
        <v>61.5</v>
      </c>
    </row>
    <row r="9">
      <c r="A9" t="inlineStr">
        <is>
          <t>2027-02</t>
        </is>
      </c>
      <c r="B9">
        <v>54.2</v>
      </c>
      <c r="C9">
        <v>0.96</v>
      </c>
      <c r="D9">
        <f>B9</f>
        <v>54.2</v>
      </c>
      <c r="E9">
        <f>D9+Project_Phases!C9</f>
        <v>54.2</v>
      </c>
    </row>
    <row r="10">
      <c r="A10" t="inlineStr">
        <is>
          <t>2027-03</t>
        </is>
      </c>
      <c r="B10">
        <v>48.8</v>
      </c>
      <c r="C10">
        <v>0.9</v>
      </c>
      <c r="D10">
        <f>B10</f>
        <v>48.8</v>
      </c>
      <c r="E10">
        <f>D10+Project_Phases!C10</f>
        <v>48.8</v>
      </c>
    </row>
    <row r="11">
      <c r="A11" t="inlineStr">
        <is>
          <t>2027-04</t>
        </is>
      </c>
      <c r="C11">
        <v>0.74</v>
      </c>
      <c r="D11">
        <f>$B$10*C11*$B$2</f>
        <v>33.22304</v>
      </c>
      <c r="E11">
        <f>D11+Project_Phases!C11</f>
        <v>39.22304</v>
      </c>
    </row>
    <row r="12">
      <c r="A12" t="inlineStr">
        <is>
          <t>2027-05</t>
        </is>
      </c>
      <c r="C12">
        <v>0.61</v>
      </c>
      <c r="D12">
        <f>$B$10*C12*$B$2</f>
        <v>27.38656</v>
      </c>
      <c r="E12">
        <f>D12+Project_Phases!C12</f>
        <v>36.98656</v>
      </c>
    </row>
    <row r="13">
      <c r="A13" t="inlineStr">
        <is>
          <t>2027-06</t>
        </is>
      </c>
      <c r="C13">
        <v>0.47</v>
      </c>
      <c r="D13">
        <f>$B$10*C13*$B$2</f>
        <v>21.101119999999998</v>
      </c>
      <c r="E13">
        <f>D13+Project_Phases!C13</f>
        <v>33.101119999999995</v>
      </c>
    </row>
    <row r="14">
      <c r="A14" t="inlineStr">
        <is>
          <t>2027-07</t>
        </is>
      </c>
      <c r="C14">
        <v>0.39</v>
      </c>
      <c r="D14">
        <f>$B$10*C14*$B$2</f>
        <v>17.50944</v>
      </c>
      <c r="E14">
        <f>D14+Project_Phases!C14</f>
        <v>29.50944</v>
      </c>
    </row>
    <row r="15">
      <c r="A15" t="inlineStr">
        <is>
          <t>2027-08</t>
        </is>
      </c>
      <c r="C15">
        <v>0.36</v>
      </c>
      <c r="D15">
        <f>$B$10*C15*$B$2</f>
        <v>16.16256</v>
      </c>
      <c r="E15">
        <f>D15+Project_Phases!C15</f>
        <v>28.16256</v>
      </c>
    </row>
    <row r="16">
      <c r="A16" t="inlineStr">
        <is>
          <t>2027-09</t>
        </is>
      </c>
      <c r="C16">
        <v>0.42</v>
      </c>
      <c r="D16">
        <f>$B$10*C16*$B$2</f>
        <v>18.85632</v>
      </c>
      <c r="E16">
        <f>D16+Project_Phases!C16</f>
        <v>30.85632</v>
      </c>
    </row>
  </sheetData>
</worksheet>
</file>

<file path=xl/worksheets/sheet2.xml><?xml version="1.0" encoding="utf-8"?>
<worksheet xmlns="http://schemas.openxmlformats.org/spreadsheetml/2006/main">
  <dimension ref="A1:E16"/>
  <sheetData>
    <row r="1">
      <c r="A1" t="inlineStr">
        <is>
          <t>Monthly evaporation losses and mitigation effect</t>
        </is>
      </c>
    </row>
    <row r="2">
      <c r="A2" t="inlineStr">
        <is>
          <t>Evaporation conversion factor</t>
        </is>
      </c>
      <c r="B2">
        <v>13.8</v>
      </c>
    </row>
    <row r="7">
      <c r="A7" t="inlineStr">
        <is>
          <t>Month</t>
        </is>
      </c>
      <c r="B7" t="inlineStr">
        <is>
          <t>Evaporation_mm</t>
        </is>
      </c>
      <c r="C7" t="inlineStr">
        <is>
          <t>Baseline_Evaporation</t>
        </is>
      </c>
      <c r="D7" t="inlineStr">
        <is>
          <t>Reduction_Share</t>
        </is>
      </c>
      <c r="E7" t="inlineStr">
        <is>
          <t>Resilience_Evaporation</t>
        </is>
      </c>
    </row>
    <row r="8">
      <c r="A8" t="inlineStr">
        <is>
          <t>2027-01</t>
        </is>
      </c>
      <c r="B8">
        <v>42</v>
      </c>
      <c r="C8">
        <f>B8*$B$2/100</f>
        <v>5.796</v>
      </c>
      <c r="D8">
        <f>Project_Phases!E8</f>
        <v>0.0</v>
      </c>
      <c r="E8">
        <f>C8*(1-D8)</f>
        <v>5.796</v>
      </c>
    </row>
    <row r="9">
      <c r="A9" t="inlineStr">
        <is>
          <t>2027-02</t>
        </is>
      </c>
      <c r="B9">
        <v>48</v>
      </c>
      <c r="C9">
        <f>B9*$B$2/100</f>
        <v>6.6240000000000006</v>
      </c>
      <c r="D9">
        <f>Project_Phases!E9</f>
        <v>0.0</v>
      </c>
      <c r="E9">
        <f>C9*(1-D9)</f>
        <v>6.6240000000000006</v>
      </c>
    </row>
    <row r="10">
      <c r="A10" t="inlineStr">
        <is>
          <t>2027-03</t>
        </is>
      </c>
      <c r="B10">
        <v>60</v>
      </c>
      <c r="C10">
        <f>B10*$B$2/100</f>
        <v>8.28</v>
      </c>
      <c r="D10">
        <f>Project_Phases!E10</f>
        <v>0.0</v>
      </c>
      <c r="E10">
        <f>C10*(1-D10)</f>
        <v>8.28</v>
      </c>
    </row>
    <row r="11">
      <c r="A11" t="inlineStr">
        <is>
          <t>2027-04</t>
        </is>
      </c>
      <c r="B11">
        <v>88</v>
      </c>
      <c r="C11">
        <f>B11*$B$2/100</f>
        <v>12.144</v>
      </c>
      <c r="D11">
        <f>Project_Phases!E11</f>
        <v>0.125</v>
      </c>
      <c r="E11">
        <f>C11*(1-D11)</f>
        <v>10.626</v>
      </c>
    </row>
    <row r="12">
      <c r="A12" t="inlineStr">
        <is>
          <t>2027-05</t>
        </is>
      </c>
      <c r="B12">
        <v>112</v>
      </c>
      <c r="C12">
        <f>B12*$B$2/100</f>
        <v>15.456000000000001</v>
      </c>
      <c r="D12">
        <f>Project_Phases!E12</f>
        <v>0.2</v>
      </c>
      <c r="E12">
        <f>C12*(1-D12)</f>
        <v>12.364800000000002</v>
      </c>
    </row>
    <row r="13">
      <c r="A13" t="inlineStr">
        <is>
          <t>2027-06</t>
        </is>
      </c>
      <c r="B13">
        <v>136</v>
      </c>
      <c r="C13">
        <f>B13*$B$2/100</f>
        <v>18.768</v>
      </c>
      <c r="D13">
        <f>Project_Phases!E13</f>
        <v>0.25</v>
      </c>
      <c r="E13">
        <f>C13*(1-D13)</f>
        <v>14.076</v>
      </c>
    </row>
    <row r="14">
      <c r="A14" t="inlineStr">
        <is>
          <t>2027-07</t>
        </is>
      </c>
      <c r="B14">
        <v>149</v>
      </c>
      <c r="C14">
        <f>B14*$B$2/100</f>
        <v>20.562</v>
      </c>
      <c r="D14">
        <f>Project_Phases!E14</f>
        <v>0.25</v>
      </c>
      <c r="E14">
        <f>C14*(1-D14)</f>
        <v>15.421500000000002</v>
      </c>
    </row>
    <row r="15">
      <c r="A15" t="inlineStr">
        <is>
          <t>2027-08</t>
        </is>
      </c>
      <c r="B15">
        <v>138</v>
      </c>
      <c r="C15">
        <f>B15*$B$2/100</f>
        <v>19.044</v>
      </c>
      <c r="D15">
        <f>Project_Phases!E15</f>
        <v>0.25</v>
      </c>
      <c r="E15">
        <f>C15*(1-D15)</f>
        <v>14.283000000000001</v>
      </c>
    </row>
    <row r="16">
      <c r="A16" t="inlineStr">
        <is>
          <t>2027-09</t>
        </is>
      </c>
      <c r="B16">
        <v>104</v>
      </c>
      <c r="C16">
        <f>B16*$B$2/100</f>
        <v>14.352</v>
      </c>
      <c r="D16">
        <f>Project_Phases!E16</f>
        <v>0.25</v>
      </c>
      <c r="E16">
        <f>C16*(1-D16)</f>
        <v>10.764</v>
      </c>
    </row>
  </sheetData>
</worksheet>
</file>

<file path=xl/worksheets/sheet3.xml><?xml version="1.0" encoding="utf-8"?>
<worksheet xmlns="http://schemas.openxmlformats.org/spreadsheetml/2006/main">
  <dimension ref="A1:F16"/>
  <sheetData>
    <row r="1">
      <c r="A1" t="inlineStr">
        <is>
          <t>Urban demand forecast and conservation response</t>
        </is>
      </c>
    </row>
    <row r="2">
      <c r="A2" t="inlineStr">
        <is>
          <t>Monthly demand growth</t>
        </is>
      </c>
      <c r="B2">
        <v>0.012</v>
      </c>
    </row>
    <row r="7">
      <c r="A7" t="inlineStr">
        <is>
          <t>Month</t>
        </is>
      </c>
      <c r="B7" t="inlineStr">
        <is>
          <t>Actual_Demand</t>
        </is>
      </c>
      <c r="C7" t="inlineStr">
        <is>
          <t>Peak_Factor</t>
        </is>
      </c>
      <c r="D7" t="inlineStr">
        <is>
          <t>Baseline_Demand</t>
        </is>
      </c>
      <c r="E7" t="inlineStr">
        <is>
          <t>Conservation_Share</t>
        </is>
      </c>
      <c r="F7" t="inlineStr">
        <is>
          <t>Resilience_Demand</t>
        </is>
      </c>
    </row>
    <row r="8">
      <c r="A8" t="inlineStr">
        <is>
          <t>2027-01</t>
        </is>
      </c>
      <c r="B8">
        <v>46.0</v>
      </c>
      <c r="C8">
        <v>0.98</v>
      </c>
      <c r="D8">
        <f>B8</f>
        <v>46.0</v>
      </c>
      <c r="E8">
        <f>Project_Phases!D8</f>
        <v>0.0</v>
      </c>
      <c r="F8">
        <f>D8*(1-E8)</f>
        <v>46.0</v>
      </c>
    </row>
    <row r="9">
      <c r="A9" t="inlineStr">
        <is>
          <t>2027-02</t>
        </is>
      </c>
      <c r="B9">
        <v>47.2</v>
      </c>
      <c r="C9">
        <v>1.0</v>
      </c>
      <c r="D9">
        <f>B9</f>
        <v>47.2</v>
      </c>
      <c r="E9">
        <f>Project_Phases!D9</f>
        <v>0.0</v>
      </c>
      <c r="F9">
        <f>D9*(1-E9)</f>
        <v>47.2</v>
      </c>
    </row>
    <row r="10">
      <c r="A10" t="inlineStr">
        <is>
          <t>2027-03</t>
        </is>
      </c>
      <c r="B10">
        <v>48.1</v>
      </c>
      <c r="C10">
        <v>1.03</v>
      </c>
      <c r="D10">
        <f>B10</f>
        <v>48.1</v>
      </c>
      <c r="E10">
        <f>Project_Phases!D10</f>
        <v>0.0</v>
      </c>
      <c r="F10">
        <f>D10*(1-E10)</f>
        <v>48.1</v>
      </c>
    </row>
    <row r="11">
      <c r="A11" t="inlineStr">
        <is>
          <t>2027-04</t>
        </is>
      </c>
      <c r="C11">
        <v>1.08</v>
      </c>
      <c r="D11">
        <f>D10*(1+$B$2)*C11</f>
        <v>52.571376</v>
      </c>
      <c r="E11">
        <f>Project_Phases!D11</f>
        <v>0.09</v>
      </c>
      <c r="F11">
        <f>D11*(1-E11)</f>
        <v>47.83995216</v>
      </c>
    </row>
    <row r="12">
      <c r="A12" t="inlineStr">
        <is>
          <t>2027-05</t>
        </is>
      </c>
      <c r="C12">
        <v>1.12</v>
      </c>
      <c r="D12">
        <f>D11*(1+$B$2)*C12</f>
        <v>59.58650041344001</v>
      </c>
      <c r="E12">
        <f>Project_Phases!D12</f>
        <v>0.144</v>
      </c>
      <c r="F12">
        <f>D12*(1-E12)</f>
        <v>51.00604435390464</v>
      </c>
    </row>
    <row r="13">
      <c r="A13" t="inlineStr">
        <is>
          <t>2027-06</t>
        </is>
      </c>
      <c r="C13">
        <v>1.18</v>
      </c>
      <c r="D13">
        <f>D12*(1+$B$2)*C13</f>
        <v>71.15581533371352</v>
      </c>
      <c r="E13">
        <f>Project_Phases!D13</f>
        <v>0.18</v>
      </c>
      <c r="F13">
        <f>D13*(1-E13)</f>
        <v>58.34776857364509</v>
      </c>
    </row>
    <row r="14">
      <c r="A14" t="inlineStr">
        <is>
          <t>2027-07</t>
        </is>
      </c>
      <c r="C14">
        <v>1.21</v>
      </c>
      <c r="D14">
        <f>D13*(1+$B$2)*C14</f>
        <v>87.13171899243888</v>
      </c>
      <c r="E14">
        <f>Project_Phases!D14</f>
        <v>0.18</v>
      </c>
      <c r="F14">
        <f>D14*(1-E14)</f>
        <v>71.44800957379988</v>
      </c>
    </row>
    <row r="15">
      <c r="A15" t="inlineStr">
        <is>
          <t>2027-08</t>
        </is>
      </c>
      <c r="C15">
        <v>1.17</v>
      </c>
      <c r="D15">
        <f>D14*(1+$B$2)*C15</f>
        <v>103.16744055580733</v>
      </c>
      <c r="E15">
        <f>Project_Phases!D15</f>
        <v>0.18</v>
      </c>
      <c r="F15">
        <f>D15*(1-E15)</f>
        <v>84.59730125576202</v>
      </c>
    </row>
    <row r="16">
      <c r="A16" t="inlineStr">
        <is>
          <t>2027-09</t>
        </is>
      </c>
      <c r="C16">
        <v>1.05</v>
      </c>
      <c r="D16">
        <f>D15*(1+$B$2)*C16</f>
        <v>109.62572233460088</v>
      </c>
      <c r="E16">
        <f>Project_Phases!D16</f>
        <v>0.18</v>
      </c>
      <c r="F16">
        <f>D16*(1-E16)</f>
        <v>89.89309231437272</v>
      </c>
    </row>
  </sheetData>
</worksheet>
</file>

<file path=xl/worksheets/sheet4.xml><?xml version="1.0" encoding="utf-8"?>
<worksheet xmlns="http://schemas.openxmlformats.org/spreadsheetml/2006/main">
  <dimension ref="A1:E16"/>
  <sheetData>
    <row r="1">
      <c r="A1" t="inlineStr">
        <is>
          <t>Commissioning profile for drought resilience projects</t>
        </is>
      </c>
    </row>
    <row r="2">
      <c r="A2" t="inlineStr">
        <is>
          <t>Full intertie supply</t>
        </is>
      </c>
      <c r="B2">
        <v>12.0</v>
      </c>
    </row>
    <row r="3">
      <c r="A3" t="inlineStr">
        <is>
          <t>Full conservation share</t>
        </is>
      </c>
      <c r="B3">
        <v>0.18</v>
      </c>
    </row>
    <row r="4">
      <c r="A4" t="inlineStr">
        <is>
          <t>Full evaporation reduction</t>
        </is>
      </c>
      <c r="B4">
        <v>0.25</v>
      </c>
    </row>
    <row r="7">
      <c r="A7" t="inlineStr">
        <is>
          <t>Month</t>
        </is>
      </c>
      <c r="B7" t="inlineStr">
        <is>
          <t>Commissioning_Share</t>
        </is>
      </c>
      <c r="C7" t="inlineStr">
        <is>
          <t>Intertie_Supply</t>
        </is>
      </c>
      <c r="D7" t="inlineStr">
        <is>
          <t>Conservation_Share</t>
        </is>
      </c>
      <c r="E7" t="inlineStr">
        <is>
          <t>Evaporation_Reduction</t>
        </is>
      </c>
    </row>
    <row r="8">
      <c r="A8" t="inlineStr">
        <is>
          <t>2027-01</t>
        </is>
      </c>
      <c r="B8">
        <v>0</v>
      </c>
      <c r="C8">
        <f>B8*$B$2</f>
        <v>0.0</v>
      </c>
      <c r="D8">
        <f>B8*$B$3</f>
        <v>0.0</v>
      </c>
      <c r="E8">
        <f>B8*$B$4</f>
        <v>0.0</v>
      </c>
    </row>
    <row r="9">
      <c r="A9" t="inlineStr">
        <is>
          <t>2027-02</t>
        </is>
      </c>
      <c r="B9">
        <v>0</v>
      </c>
      <c r="C9">
        <f>B9*$B$2</f>
        <v>0.0</v>
      </c>
      <c r="D9">
        <f>B9*$B$3</f>
        <v>0.0</v>
      </c>
      <c r="E9">
        <f>B9*$B$4</f>
        <v>0.0</v>
      </c>
    </row>
    <row r="10">
      <c r="A10" t="inlineStr">
        <is>
          <t>2027-03</t>
        </is>
      </c>
      <c r="B10">
        <v>0</v>
      </c>
      <c r="C10">
        <f>B10*$B$2</f>
        <v>0.0</v>
      </c>
      <c r="D10">
        <f>B10*$B$3</f>
        <v>0.0</v>
      </c>
      <c r="E10">
        <f>B10*$B$4</f>
        <v>0.0</v>
      </c>
    </row>
    <row r="11">
      <c r="A11" t="inlineStr">
        <is>
          <t>2027-04</t>
        </is>
      </c>
      <c r="B11">
        <v>0.5</v>
      </c>
      <c r="C11">
        <f>B11*$B$2</f>
        <v>6.0</v>
      </c>
      <c r="D11">
        <f>B11*$B$3</f>
        <v>0.09</v>
      </c>
      <c r="E11">
        <f>B11*$B$4</f>
        <v>0.125</v>
      </c>
    </row>
    <row r="12">
      <c r="A12" t="inlineStr">
        <is>
          <t>2027-05</t>
        </is>
      </c>
      <c r="B12">
        <v>0.8</v>
      </c>
      <c r="C12">
        <f>B12*$B$2</f>
        <v>9.600000000000001</v>
      </c>
      <c r="D12">
        <f>B12*$B$3</f>
        <v>0.144</v>
      </c>
      <c r="E12">
        <f>B12*$B$4</f>
        <v>0.2</v>
      </c>
    </row>
    <row r="13">
      <c r="A13" t="inlineStr">
        <is>
          <t>2027-06</t>
        </is>
      </c>
      <c r="B13">
        <v>1.0</v>
      </c>
      <c r="C13">
        <f>B13*$B$2</f>
        <v>12.0</v>
      </c>
      <c r="D13">
        <f>B13*$B$3</f>
        <v>0.18</v>
      </c>
      <c r="E13">
        <f>B13*$B$4</f>
        <v>0.25</v>
      </c>
    </row>
    <row r="14">
      <c r="A14" t="inlineStr">
        <is>
          <t>2027-07</t>
        </is>
      </c>
      <c r="B14">
        <v>1.0</v>
      </c>
      <c r="C14">
        <f>B14*$B$2</f>
        <v>12.0</v>
      </c>
      <c r="D14">
        <f>B14*$B$3</f>
        <v>0.18</v>
      </c>
      <c r="E14">
        <f>B14*$B$4</f>
        <v>0.25</v>
      </c>
    </row>
    <row r="15">
      <c r="A15" t="inlineStr">
        <is>
          <t>2027-08</t>
        </is>
      </c>
      <c r="B15">
        <v>1.0</v>
      </c>
      <c r="C15">
        <f>B15*$B$2</f>
        <v>12.0</v>
      </c>
      <c r="D15">
        <f>B15*$B$3</f>
        <v>0.18</v>
      </c>
      <c r="E15">
        <f>B15*$B$4</f>
        <v>0.25</v>
      </c>
    </row>
    <row r="16">
      <c r="A16" t="inlineStr">
        <is>
          <t>2027-09</t>
        </is>
      </c>
      <c r="B16">
        <v>1.0</v>
      </c>
      <c r="C16">
        <f>B16*$B$2</f>
        <v>12.0</v>
      </c>
      <c r="D16">
        <f>B16*$B$3</f>
        <v>0.18</v>
      </c>
      <c r="E16">
        <f>B16*$B$4</f>
        <v>0.25</v>
      </c>
    </row>
  </sheetData>
</worksheet>
</file>

<file path=xl/worksheets/sheet5.xml><?xml version="1.0" encoding="utf-8"?>
<worksheet xmlns="http://schemas.openxmlformats.org/spreadsheetml/2006/main">
  <dimension ref="A1:S16"/>
  <sheetData>
    <row r="1">
      <c r="A1" t="inlineStr">
        <is>
          <t>Monthly storage rollforward under baseline and resilience cases</t>
        </is>
      </c>
    </row>
    <row r="2">
      <c r="A2" t="inlineStr">
        <is>
          <t>Opening active storage</t>
        </is>
      </c>
      <c r="B2">
        <v>182.0</v>
      </c>
    </row>
    <row r="3">
      <c r="A3" t="inlineStr">
        <is>
          <t>Environmental release</t>
        </is>
      </c>
      <c r="B3">
        <v>8.5</v>
      </c>
    </row>
    <row r="4">
      <c r="A4" t="inlineStr">
        <is>
          <t>Dead storage floor</t>
        </is>
      </c>
      <c r="B4">
        <v>70.0</v>
      </c>
    </row>
    <row r="5">
      <c r="A5" t="inlineStr">
        <is>
          <t>Stage 1 trigger</t>
        </is>
      </c>
      <c r="B5">
        <v>125.0</v>
      </c>
    </row>
    <row r="6">
      <c r="A6" t="inlineStr">
        <is>
          <t>Stage 2 trigger</t>
        </is>
      </c>
      <c r="B6">
        <v>95.0</v>
      </c>
    </row>
    <row r="7">
      <c r="A7" t="inlineStr">
        <is>
          <t>Stage 3 trigger</t>
        </is>
      </c>
      <c r="B7">
        <v>80.0</v>
      </c>
      <c r="C7" t="inlineStr">
        <is>
          <t>Base_Inflow</t>
        </is>
      </c>
      <c r="D7" t="inlineStr">
        <is>
          <t>Base_Evap</t>
        </is>
      </c>
      <c r="E7" t="inlineStr">
        <is>
          <t>Base_Demand</t>
        </is>
      </c>
      <c r="F7" t="inlineStr">
        <is>
          <t>Base_Available</t>
        </is>
      </c>
      <c r="G7" t="inlineStr">
        <is>
          <t>Base_Delivered</t>
        </is>
      </c>
      <c r="H7" t="inlineStr">
        <is>
          <t>Base_Unmet</t>
        </is>
      </c>
      <c r="I7" t="inlineStr">
        <is>
          <t>Base_Closing</t>
        </is>
      </c>
      <c r="J7" t="inlineStr">
        <is>
          <t>Base_Stage</t>
        </is>
      </c>
      <c r="K7" t="inlineStr">
        <is>
          <t>Res_Opening</t>
        </is>
      </c>
      <c r="L7" t="inlineStr">
        <is>
          <t>Res_Inflow</t>
        </is>
      </c>
      <c r="M7" t="inlineStr">
        <is>
          <t>Res_Evap</t>
        </is>
      </c>
      <c r="N7" t="inlineStr">
        <is>
          <t>Res_Demand</t>
        </is>
      </c>
      <c r="O7" t="inlineStr">
        <is>
          <t>Res_Available</t>
        </is>
      </c>
      <c r="P7" t="inlineStr">
        <is>
          <t>Res_Delivered</t>
        </is>
      </c>
      <c r="Q7" t="inlineStr">
        <is>
          <t>Res_Unmet</t>
        </is>
      </c>
      <c r="R7" t="inlineStr">
        <is>
          <t>Res_Closing</t>
        </is>
      </c>
      <c r="S7" t="inlineStr">
        <is>
          <t>Res_Stage</t>
        </is>
      </c>
    </row>
    <row r="8">
      <c r="A8" t="inlineStr">
        <is>
          <t>2027-01</t>
        </is>
      </c>
      <c r="B8">
        <f>$B$2</f>
        <v>182.0</v>
      </c>
      <c r="C8">
        <f>Inflow_Plan!D8</f>
        <v>61.5</v>
      </c>
      <c r="D8">
        <f>Loss_Factors!C8</f>
        <v>5.796</v>
      </c>
      <c r="E8">
        <f>Demand_Forecast!D8</f>
        <v>46.0</v>
      </c>
      <c r="F8">
        <f>B8+C8-D8-$B$3</f>
        <v>229.204</v>
      </c>
      <c r="G8">
        <f>MIN(E8,MAX(F8-$B$4,0))</f>
        <v>46.0</v>
      </c>
      <c r="H8">
        <f>MAX(E8-G8,0)</f>
        <v>0.0</v>
      </c>
      <c r="I8">
        <f>MAX(F8-G8,$B$4)</f>
        <v>183.204</v>
      </c>
      <c r="J8">
        <f>IF(I8&lt;$B$7,3,IF(I8&lt;$B$6,2,IF(I8&lt;$B$5,1,0)))</f>
        <v>0</v>
      </c>
      <c r="K8">
        <f>$B$2</f>
        <v>182.0</v>
      </c>
      <c r="L8">
        <f>Inflow_Plan!E8</f>
        <v>61.5</v>
      </c>
      <c r="M8">
        <f>Loss_Factors!E8</f>
        <v>5.796</v>
      </c>
      <c r="N8">
        <f>Demand_Forecast!F8</f>
        <v>46.0</v>
      </c>
      <c r="O8">
        <f>K8+L8-M8-$B$3</f>
        <v>229.204</v>
      </c>
      <c r="P8">
        <f>MIN(N8,MAX(O8-$B$4,0))</f>
        <v>46.0</v>
      </c>
      <c r="Q8">
        <f>MAX(N8-P8,0)</f>
        <v>0.0</v>
      </c>
      <c r="R8">
        <f>MAX(O8-P8,$B$4)</f>
        <v>183.204</v>
      </c>
      <c r="S8">
        <f>IF(R8&lt;$B$7,3,IF(R8&lt;$B$6,2,IF(R8&lt;$B$5,1,0)))</f>
        <v>0</v>
      </c>
    </row>
    <row r="9">
      <c r="A9" t="inlineStr">
        <is>
          <t>2027-02</t>
        </is>
      </c>
      <c r="B9">
        <f>I8</f>
        <v>183.204</v>
      </c>
      <c r="C9">
        <f>Inflow_Plan!D9</f>
        <v>54.2</v>
      </c>
      <c r="D9">
        <f>Loss_Factors!C9</f>
        <v>6.6240000000000006</v>
      </c>
      <c r="E9">
        <f>Demand_Forecast!D9</f>
        <v>47.2</v>
      </c>
      <c r="F9">
        <f>B9+C9-D9-$B$3</f>
        <v>222.28</v>
      </c>
      <c r="G9">
        <f>MIN(E9,MAX(F9-$B$4,0))</f>
        <v>47.2</v>
      </c>
      <c r="H9">
        <f>MAX(E9-G9,0)</f>
        <v>0.0</v>
      </c>
      <c r="I9">
        <f>MAX(F9-G9,$B$4)</f>
        <v>175.07999999999998</v>
      </c>
      <c r="J9">
        <f>IF(I9&lt;$B$7,3,IF(I9&lt;$B$6,2,IF(I9&lt;$B$5,1,0)))</f>
        <v>0</v>
      </c>
      <c r="K9">
        <f>R8</f>
        <v>183.204</v>
      </c>
      <c r="L9">
        <f>Inflow_Plan!E9</f>
        <v>54.2</v>
      </c>
      <c r="M9">
        <f>Loss_Factors!E9</f>
        <v>6.6240000000000006</v>
      </c>
      <c r="N9">
        <f>Demand_Forecast!F9</f>
        <v>47.2</v>
      </c>
      <c r="O9">
        <f>K9+L9-M9-$B$3</f>
        <v>222.28</v>
      </c>
      <c r="P9">
        <f>MIN(N9,MAX(O9-$B$4,0))</f>
        <v>47.2</v>
      </c>
      <c r="Q9">
        <f>MAX(N9-P9,0)</f>
        <v>0.0</v>
      </c>
      <c r="R9">
        <f>MAX(O9-P9,$B$4)</f>
        <v>175.07999999999998</v>
      </c>
      <c r="S9">
        <f>IF(R9&lt;$B$7,3,IF(R9&lt;$B$6,2,IF(R9&lt;$B$5,1,0)))</f>
        <v>0</v>
      </c>
    </row>
    <row r="10">
      <c r="A10" t="inlineStr">
        <is>
          <t>2027-03</t>
        </is>
      </c>
      <c r="B10">
        <f>I9</f>
        <v>175.07999999999998</v>
      </c>
      <c r="C10">
        <f>Inflow_Plan!D10</f>
        <v>48.8</v>
      </c>
      <c r="D10">
        <f>Loss_Factors!C10</f>
        <v>8.28</v>
      </c>
      <c r="E10">
        <f>Demand_Forecast!D10</f>
        <v>48.1</v>
      </c>
      <c r="F10">
        <f>B10+C10-D10-$B$3</f>
        <v>207.1</v>
      </c>
      <c r="G10">
        <f>MIN(E10,MAX(F10-$B$4,0))</f>
        <v>48.1</v>
      </c>
      <c r="H10">
        <f>MAX(E10-G10,0)</f>
        <v>0.0</v>
      </c>
      <c r="I10">
        <f>MAX(F10-G10,$B$4)</f>
        <v>159.0</v>
      </c>
      <c r="J10">
        <f>IF(I10&lt;$B$7,3,IF(I10&lt;$B$6,2,IF(I10&lt;$B$5,1,0)))</f>
        <v>0</v>
      </c>
      <c r="K10">
        <f>R9</f>
        <v>175.07999999999998</v>
      </c>
      <c r="L10">
        <f>Inflow_Plan!E10</f>
        <v>48.8</v>
      </c>
      <c r="M10">
        <f>Loss_Factors!E10</f>
        <v>8.28</v>
      </c>
      <c r="N10">
        <f>Demand_Forecast!F10</f>
        <v>48.1</v>
      </c>
      <c r="O10">
        <f>K10+L10-M10-$B$3</f>
        <v>207.1</v>
      </c>
      <c r="P10">
        <f>MIN(N10,MAX(O10-$B$4,0))</f>
        <v>48.1</v>
      </c>
      <c r="Q10">
        <f>MAX(N10-P10,0)</f>
        <v>0.0</v>
      </c>
      <c r="R10">
        <f>MAX(O10-P10,$B$4)</f>
        <v>159.0</v>
      </c>
      <c r="S10">
        <f>IF(R10&lt;$B$7,3,IF(R10&lt;$B$6,2,IF(R10&lt;$B$5,1,0)))</f>
        <v>0</v>
      </c>
    </row>
    <row r="11">
      <c r="A11" t="inlineStr">
        <is>
          <t>2027-04</t>
        </is>
      </c>
      <c r="B11">
        <f>I10</f>
        <v>159.0</v>
      </c>
      <c r="C11">
        <f>Inflow_Plan!D11</f>
        <v>33.22304</v>
      </c>
      <c r="D11">
        <f>Loss_Factors!C11</f>
        <v>12.144</v>
      </c>
      <c r="E11">
        <f>Demand_Forecast!D11</f>
        <v>52.571376</v>
      </c>
      <c r="F11">
        <f>B11+C11-D11-$B$3</f>
        <v>171.57904</v>
      </c>
      <c r="G11">
        <f>MIN(E11,MAX(F11-$B$4,0))</f>
        <v>52.571376</v>
      </c>
      <c r="H11">
        <f>MAX(E11-G11,0)</f>
        <v>0.0</v>
      </c>
      <c r="I11">
        <f>MAX(F11-G11,$B$4)</f>
        <v>119.00766399999999</v>
      </c>
      <c r="J11">
        <f>IF(I11&lt;$B$7,3,IF(I11&lt;$B$6,2,IF(I11&lt;$B$5,1,0)))</f>
        <v>1</v>
      </c>
      <c r="K11">
        <f>R10</f>
        <v>159.0</v>
      </c>
      <c r="L11">
        <f>Inflow_Plan!E11</f>
        <v>39.22304</v>
      </c>
      <c r="M11">
        <f>Loss_Factors!E11</f>
        <v>10.626</v>
      </c>
      <c r="N11">
        <f>Demand_Forecast!F11</f>
        <v>47.83995216</v>
      </c>
      <c r="O11">
        <f>K11+L11-M11-$B$3</f>
        <v>179.09704</v>
      </c>
      <c r="P11">
        <f>MIN(N11,MAX(O11-$B$4,0))</f>
        <v>47.83995216</v>
      </c>
      <c r="Q11">
        <f>MAX(N11-P11,0)</f>
        <v>0.0</v>
      </c>
      <c r="R11">
        <f>MAX(O11-P11,$B$4)</f>
        <v>131.25708784</v>
      </c>
      <c r="S11">
        <f>IF(R11&lt;$B$7,3,IF(R11&lt;$B$6,2,IF(R11&lt;$B$5,1,0)))</f>
        <v>0</v>
      </c>
    </row>
    <row r="12">
      <c r="A12" t="inlineStr">
        <is>
          <t>2027-05</t>
        </is>
      </c>
      <c r="B12">
        <f>I11</f>
        <v>119.00766399999999</v>
      </c>
      <c r="C12">
        <f>Inflow_Plan!D12</f>
        <v>27.38656</v>
      </c>
      <c r="D12">
        <f>Loss_Factors!C12</f>
        <v>15.456000000000001</v>
      </c>
      <c r="E12">
        <f>Demand_Forecast!D12</f>
        <v>59.58650041344001</v>
      </c>
      <c r="F12">
        <f>B12+C12-D12-$B$3</f>
        <v>122.43822399999999</v>
      </c>
      <c r="G12">
        <f>MIN(E12,MAX(F12-$B$4,0))</f>
        <v>52.43822399999999</v>
      </c>
      <c r="H12">
        <f>MAX(E12-G12,0)</f>
        <v>7.148276413440016</v>
      </c>
      <c r="I12">
        <f>MAX(F12-G12,$B$4)</f>
        <v>70.0</v>
      </c>
      <c r="J12">
        <f>IF(I12&lt;$B$7,3,IF(I12&lt;$B$6,2,IF(I12&lt;$B$5,1,0)))</f>
        <v>3</v>
      </c>
      <c r="K12">
        <f>R11</f>
        <v>131.25708784</v>
      </c>
      <c r="L12">
        <f>Inflow_Plan!E12</f>
        <v>36.98656</v>
      </c>
      <c r="M12">
        <f>Loss_Factors!E12</f>
        <v>12.364800000000002</v>
      </c>
      <c r="N12">
        <f>Demand_Forecast!F12</f>
        <v>51.00604435390464</v>
      </c>
      <c r="O12">
        <f>K12+L12-M12-$B$3</f>
        <v>147.37884784</v>
      </c>
      <c r="P12">
        <f>MIN(N12,MAX(O12-$B$4,0))</f>
        <v>51.00604435390464</v>
      </c>
      <c r="Q12">
        <f>MAX(N12-P12,0)</f>
        <v>0.0</v>
      </c>
      <c r="R12">
        <f>MAX(O12-P12,$B$4)</f>
        <v>96.37280348609535</v>
      </c>
      <c r="S12">
        <f>IF(R12&lt;$B$7,3,IF(R12&lt;$B$6,2,IF(R12&lt;$B$5,1,0)))</f>
        <v>1</v>
      </c>
    </row>
    <row r="13">
      <c r="A13" t="inlineStr">
        <is>
          <t>2027-06</t>
        </is>
      </c>
      <c r="B13">
        <f>I12</f>
        <v>70.0</v>
      </c>
      <c r="C13">
        <f>Inflow_Plan!D13</f>
        <v>21.101119999999998</v>
      </c>
      <c r="D13">
        <f>Loss_Factors!C13</f>
        <v>18.768</v>
      </c>
      <c r="E13">
        <f>Demand_Forecast!D13</f>
        <v>71.15581533371352</v>
      </c>
      <c r="F13">
        <f>B13+C13-D13-$B$3</f>
        <v>63.833119999999994</v>
      </c>
      <c r="G13">
        <f>MIN(E13,MAX(F13-$B$4,0))</f>
        <v>0</v>
      </c>
      <c r="H13">
        <f>MAX(E13-G13,0)</f>
        <v>71.15581533371352</v>
      </c>
      <c r="I13">
        <f>MAX(F13-G13,$B$4)</f>
        <v>70.0</v>
      </c>
      <c r="J13">
        <f>IF(I13&lt;$B$7,3,IF(I13&lt;$B$6,2,IF(I13&lt;$B$5,1,0)))</f>
        <v>3</v>
      </c>
      <c r="K13">
        <f>R12</f>
        <v>96.37280348609535</v>
      </c>
      <c r="L13">
        <f>Inflow_Plan!E13</f>
        <v>33.101119999999995</v>
      </c>
      <c r="M13">
        <f>Loss_Factors!E13</f>
        <v>14.076</v>
      </c>
      <c r="N13">
        <f>Demand_Forecast!F13</f>
        <v>58.34776857364509</v>
      </c>
      <c r="O13">
        <f>K13+L13-M13-$B$3</f>
        <v>106.89792348609535</v>
      </c>
      <c r="P13">
        <f>MIN(N13,MAX(O13-$B$4,0))</f>
        <v>36.89792348609535</v>
      </c>
      <c r="Q13">
        <f>MAX(N13-P13,0)</f>
        <v>21.44984508754974</v>
      </c>
      <c r="R13">
        <f>MAX(O13-P13,$B$4)</f>
        <v>70.0</v>
      </c>
      <c r="S13">
        <f>IF(R13&lt;$B$7,3,IF(R13&lt;$B$6,2,IF(R13&lt;$B$5,1,0)))</f>
        <v>3</v>
      </c>
    </row>
    <row r="14">
      <c r="A14" t="inlineStr">
        <is>
          <t>2027-07</t>
        </is>
      </c>
      <c r="B14">
        <f>I13</f>
        <v>70.0</v>
      </c>
      <c r="C14">
        <f>Inflow_Plan!D14</f>
        <v>17.50944</v>
      </c>
      <c r="D14">
        <f>Loss_Factors!C14</f>
        <v>20.562</v>
      </c>
      <c r="E14">
        <f>Demand_Forecast!D14</f>
        <v>87.13171899243888</v>
      </c>
      <c r="F14">
        <f>B14+C14-D14-$B$3</f>
        <v>58.44744</v>
      </c>
      <c r="G14">
        <f>MIN(E14,MAX(F14-$B$4,0))</f>
        <v>0</v>
      </c>
      <c r="H14">
        <f>MAX(E14-G14,0)</f>
        <v>87.13171899243888</v>
      </c>
      <c r="I14">
        <f>MAX(F14-G14,$B$4)</f>
        <v>70.0</v>
      </c>
      <c r="J14">
        <f>IF(I14&lt;$B$7,3,IF(I14&lt;$B$6,2,IF(I14&lt;$B$5,1,0)))</f>
        <v>3</v>
      </c>
      <c r="K14">
        <f>R13</f>
        <v>70.0</v>
      </c>
      <c r="L14">
        <f>Inflow_Plan!E14</f>
        <v>29.50944</v>
      </c>
      <c r="M14">
        <f>Loss_Factors!E14</f>
        <v>15.421500000000002</v>
      </c>
      <c r="N14">
        <f>Demand_Forecast!F14</f>
        <v>71.44800957379988</v>
      </c>
      <c r="O14">
        <f>K14+L14-M14-$B$3</f>
        <v>75.58794</v>
      </c>
      <c r="P14">
        <f>MIN(N14,MAX(O14-$B$4,0))</f>
        <v>5.587940000000003</v>
      </c>
      <c r="Q14">
        <f>MAX(N14-P14,0)</f>
        <v>65.86006957379988</v>
      </c>
      <c r="R14">
        <f>MAX(O14-P14,$B$4)</f>
        <v>70.0</v>
      </c>
      <c r="S14">
        <f>IF(R14&lt;$B$7,3,IF(R14&lt;$B$6,2,IF(R14&lt;$B$5,1,0)))</f>
        <v>3</v>
      </c>
    </row>
    <row r="15">
      <c r="A15" t="inlineStr">
        <is>
          <t>2027-08</t>
        </is>
      </c>
      <c r="B15">
        <f>I14</f>
        <v>70.0</v>
      </c>
      <c r="C15">
        <f>Inflow_Plan!D15</f>
        <v>16.16256</v>
      </c>
      <c r="D15">
        <f>Loss_Factors!C15</f>
        <v>19.044</v>
      </c>
      <c r="E15">
        <f>Demand_Forecast!D15</f>
        <v>103.16744055580733</v>
      </c>
      <c r="F15">
        <f>B15+C15-D15-$B$3</f>
        <v>58.61856</v>
      </c>
      <c r="G15">
        <f>MIN(E15,MAX(F15-$B$4,0))</f>
        <v>0</v>
      </c>
      <c r="H15">
        <f>MAX(E15-G15,0)</f>
        <v>103.16744055580733</v>
      </c>
      <c r="I15">
        <f>MAX(F15-G15,$B$4)</f>
        <v>70.0</v>
      </c>
      <c r="J15">
        <f>IF(I15&lt;$B$7,3,IF(I15&lt;$B$6,2,IF(I15&lt;$B$5,1,0)))</f>
        <v>3</v>
      </c>
      <c r="K15">
        <f>R14</f>
        <v>70.0</v>
      </c>
      <c r="L15">
        <f>Inflow_Plan!E15</f>
        <v>28.16256</v>
      </c>
      <c r="M15">
        <f>Loss_Factors!E15</f>
        <v>14.283000000000001</v>
      </c>
      <c r="N15">
        <f>Demand_Forecast!F15</f>
        <v>84.59730125576202</v>
      </c>
      <c r="O15">
        <f>K15+L15-M15-$B$3</f>
        <v>75.37956</v>
      </c>
      <c r="P15">
        <f>MIN(N15,MAX(O15-$B$4,0))</f>
        <v>5.379559999999998</v>
      </c>
      <c r="Q15">
        <f>MAX(N15-P15,0)</f>
        <v>79.21774125576202</v>
      </c>
      <c r="R15">
        <f>MAX(O15-P15,$B$4)</f>
        <v>70.0</v>
      </c>
      <c r="S15">
        <f>IF(R15&lt;$B$7,3,IF(R15&lt;$B$6,2,IF(R15&lt;$B$5,1,0)))</f>
        <v>3</v>
      </c>
    </row>
    <row r="16">
      <c r="A16" t="inlineStr">
        <is>
          <t>2027-09</t>
        </is>
      </c>
      <c r="B16">
        <f>I15</f>
        <v>70.0</v>
      </c>
      <c r="C16">
        <f>Inflow_Plan!D16</f>
        <v>18.85632</v>
      </c>
      <c r="D16">
        <f>Loss_Factors!C16</f>
        <v>14.352</v>
      </c>
      <c r="E16">
        <f>Demand_Forecast!D16</f>
        <v>109.62572233460088</v>
      </c>
      <c r="F16">
        <f>B16+C16-D16-$B$3</f>
        <v>66.00431999999999</v>
      </c>
      <c r="G16">
        <f>MIN(E16,MAX(F16-$B$4,0))</f>
        <v>0</v>
      </c>
      <c r="H16">
        <f>MAX(E16-G16,0)</f>
        <v>109.62572233460088</v>
      </c>
      <c r="I16">
        <f>MAX(F16-G16,$B$4)</f>
        <v>70.0</v>
      </c>
      <c r="J16">
        <f>IF(I16&lt;$B$7,3,IF(I16&lt;$B$6,2,IF(I16&lt;$B$5,1,0)))</f>
        <v>3</v>
      </c>
      <c r="K16">
        <f>R15</f>
        <v>70.0</v>
      </c>
      <c r="L16">
        <f>Inflow_Plan!E16</f>
        <v>30.85632</v>
      </c>
      <c r="M16">
        <f>Loss_Factors!E16</f>
        <v>10.764</v>
      </c>
      <c r="N16">
        <f>Demand_Forecast!F16</f>
        <v>89.89309231437272</v>
      </c>
      <c r="O16">
        <f>K16+L16-M16-$B$3</f>
        <v>81.59232</v>
      </c>
      <c r="P16">
        <f>MIN(N16,MAX(O16-$B$4,0))</f>
        <v>11.59232</v>
      </c>
      <c r="Q16">
        <f>MAX(N16-P16,0)</f>
        <v>78.30077231437272</v>
      </c>
      <c r="R16">
        <f>MAX(O16-P16,$B$4)</f>
        <v>70.0</v>
      </c>
      <c r="S16">
        <f>IF(R16&lt;$B$7,3,IF(R16&lt;$B$6,2,IF(R16&lt;$B$5,1,0)))</f>
        <v>3</v>
      </c>
    </row>
  </sheetData>
</worksheet>
</file>

<file path=xl/worksheets/sheet6.xml><?xml version="1.0" encoding="utf-8"?>
<worksheet xmlns="http://schemas.openxmlformats.org/spreadsheetml/2006/main">
  <dimension ref="A1:J16"/>
  <sheetData>
    <row r="1">
      <c r="A1" t="inlineStr">
        <is>
          <t>Drought restriction comparison between scenarios</t>
        </is>
      </c>
    </row>
    <row r="2">
      <c r="A2" t="inlineStr">
        <is>
          <t>Baseline restriction months</t>
        </is>
      </c>
      <c r="B2">
        <f>SUM(F8:F16)</f>
        <v>6</v>
      </c>
    </row>
    <row r="3">
      <c r="A3" t="inlineStr">
        <is>
          <t>Resilience restriction months</t>
        </is>
      </c>
      <c r="B3">
        <f>SUM(G8:G16)</f>
        <v>5</v>
      </c>
    </row>
    <row r="4">
      <c r="A4" t="inlineStr">
        <is>
          <t>Baseline severe months</t>
        </is>
      </c>
      <c r="B4">
        <f>SUM(H8:H16)</f>
        <v>5</v>
      </c>
    </row>
    <row r="5">
      <c r="A5" t="inlineStr">
        <is>
          <t>Resilience severe months</t>
        </is>
      </c>
      <c r="B5">
        <f>SUM(I8:I16)</f>
        <v>4</v>
      </c>
    </row>
    <row r="6">
      <c r="A6" t="inlineStr">
        <is>
          <t>Total shortage reduction</t>
        </is>
      </c>
      <c r="B6">
        <f>SUM(D8:D16)-SUM(E8:E16)</f>
        <v>133.40054539851627</v>
      </c>
    </row>
    <row r="7">
      <c r="A7" t="inlineStr">
        <is>
          <t>Average storage lift</t>
        </is>
      </c>
      <c r="B7">
        <f>AVERAGE(C8:C16)-AVERAGE(B8:B16)</f>
        <v>4.2913585917883665</v>
      </c>
      <c r="C7" t="inlineStr">
        <is>
          <t>Res_Closing</t>
        </is>
      </c>
      <c r="D7" t="inlineStr">
        <is>
          <t>Base_Unmet</t>
        </is>
      </c>
      <c r="E7" t="inlineStr">
        <is>
          <t>Res_Unmet</t>
        </is>
      </c>
      <c r="F7" t="inlineStr">
        <is>
          <t>Base_Restriction_Flag</t>
        </is>
      </c>
      <c r="G7" t="inlineStr">
        <is>
          <t>Res_Restriction_Flag</t>
        </is>
      </c>
      <c r="H7" t="inlineStr">
        <is>
          <t>Base_Severe_Flag</t>
        </is>
      </c>
      <c r="I7" t="inlineStr">
        <is>
          <t>Res_Severe_Flag</t>
        </is>
      </c>
      <c r="J7" t="inlineStr">
        <is>
          <t>Monthly_Shortage_Reduction</t>
        </is>
      </c>
    </row>
    <row r="8">
      <c r="A8" t="inlineStr">
        <is>
          <t>2027-01</t>
        </is>
      </c>
      <c r="B8">
        <f>Storage_Rolling!I8</f>
        <v>183.204</v>
      </c>
      <c r="C8">
        <f>Storage_Rolling!R8</f>
        <v>183.204</v>
      </c>
      <c r="D8">
        <f>Storage_Rolling!H8</f>
        <v>0.0</v>
      </c>
      <c r="E8">
        <f>Storage_Rolling!Q8</f>
        <v>0.0</v>
      </c>
      <c r="F8">
        <f>IF(Storage_Rolling!J8&gt;=1,1,0)</f>
        <v>0</v>
      </c>
      <c r="G8">
        <f>IF(Storage_Rolling!S8&gt;=1,1,0)</f>
        <v>0</v>
      </c>
      <c r="H8">
        <f>IF(Storage_Rolling!J8&gt;=2,1,0)</f>
        <v>0</v>
      </c>
      <c r="I8">
        <f>IF(Storage_Rolling!S8&gt;=2,1,0)</f>
        <v>0</v>
      </c>
      <c r="J8">
        <f>D8-E8</f>
        <v>0.0</v>
      </c>
    </row>
    <row r="9">
      <c r="A9" t="inlineStr">
        <is>
          <t>2027-02</t>
        </is>
      </c>
      <c r="B9">
        <f>Storage_Rolling!I9</f>
        <v>175.07999999999998</v>
      </c>
      <c r="C9">
        <f>Storage_Rolling!R9</f>
        <v>175.07999999999998</v>
      </c>
      <c r="D9">
        <f>Storage_Rolling!H9</f>
        <v>0.0</v>
      </c>
      <c r="E9">
        <f>Storage_Rolling!Q9</f>
        <v>0.0</v>
      </c>
      <c r="F9">
        <f>IF(Storage_Rolling!J9&gt;=1,1,0)</f>
        <v>0</v>
      </c>
      <c r="G9">
        <f>IF(Storage_Rolling!S9&gt;=1,1,0)</f>
        <v>0</v>
      </c>
      <c r="H9">
        <f>IF(Storage_Rolling!J9&gt;=2,1,0)</f>
        <v>0</v>
      </c>
      <c r="I9">
        <f>IF(Storage_Rolling!S9&gt;=2,1,0)</f>
        <v>0</v>
      </c>
      <c r="J9">
        <f>D9-E9</f>
        <v>0.0</v>
      </c>
    </row>
    <row r="10">
      <c r="A10" t="inlineStr">
        <is>
          <t>2027-03</t>
        </is>
      </c>
      <c r="B10">
        <f>Storage_Rolling!I10</f>
        <v>159.0</v>
      </c>
      <c r="C10">
        <f>Storage_Rolling!R10</f>
        <v>159.0</v>
      </c>
      <c r="D10">
        <f>Storage_Rolling!H10</f>
        <v>0.0</v>
      </c>
      <c r="E10">
        <f>Storage_Rolling!Q10</f>
        <v>0.0</v>
      </c>
      <c r="F10">
        <f>IF(Storage_Rolling!J10&gt;=1,1,0)</f>
        <v>0</v>
      </c>
      <c r="G10">
        <f>IF(Storage_Rolling!S10&gt;=1,1,0)</f>
        <v>0</v>
      </c>
      <c r="H10">
        <f>IF(Storage_Rolling!J10&gt;=2,1,0)</f>
        <v>0</v>
      </c>
      <c r="I10">
        <f>IF(Storage_Rolling!S10&gt;=2,1,0)</f>
        <v>0</v>
      </c>
      <c r="J10">
        <f>D10-E10</f>
        <v>0.0</v>
      </c>
    </row>
    <row r="11">
      <c r="A11" t="inlineStr">
        <is>
          <t>2027-04</t>
        </is>
      </c>
      <c r="B11">
        <f>Storage_Rolling!I11</f>
        <v>119.00766399999999</v>
      </c>
      <c r="C11">
        <f>Storage_Rolling!R11</f>
        <v>131.25708784</v>
      </c>
      <c r="D11">
        <f>Storage_Rolling!H11</f>
        <v>0.0</v>
      </c>
      <c r="E11">
        <f>Storage_Rolling!Q11</f>
        <v>0.0</v>
      </c>
      <c r="F11">
        <f>IF(Storage_Rolling!J11&gt;=1,1,0)</f>
        <v>1</v>
      </c>
      <c r="G11">
        <f>IF(Storage_Rolling!S11&gt;=1,1,0)</f>
        <v>0</v>
      </c>
      <c r="H11">
        <f>IF(Storage_Rolling!J11&gt;=2,1,0)</f>
        <v>0</v>
      </c>
      <c r="I11">
        <f>IF(Storage_Rolling!S11&gt;=2,1,0)</f>
        <v>0</v>
      </c>
      <c r="J11">
        <f>D11-E11</f>
        <v>0.0</v>
      </c>
    </row>
    <row r="12">
      <c r="A12" t="inlineStr">
        <is>
          <t>2027-05</t>
        </is>
      </c>
      <c r="B12">
        <f>Storage_Rolling!I12</f>
        <v>70.0</v>
      </c>
      <c r="C12">
        <f>Storage_Rolling!R12</f>
        <v>96.37280348609535</v>
      </c>
      <c r="D12">
        <f>Storage_Rolling!H12</f>
        <v>7.148276413440016</v>
      </c>
      <c r="E12">
        <f>Storage_Rolling!Q12</f>
        <v>0.0</v>
      </c>
      <c r="F12">
        <f>IF(Storage_Rolling!J12&gt;=1,1,0)</f>
        <v>1</v>
      </c>
      <c r="G12">
        <f>IF(Storage_Rolling!S12&gt;=1,1,0)</f>
        <v>1</v>
      </c>
      <c r="H12">
        <f>IF(Storage_Rolling!J12&gt;=2,1,0)</f>
        <v>1</v>
      </c>
      <c r="I12">
        <f>IF(Storage_Rolling!S12&gt;=2,1,0)</f>
        <v>0</v>
      </c>
      <c r="J12">
        <f>D12-E12</f>
        <v>7.148276413440016</v>
      </c>
    </row>
    <row r="13">
      <c r="A13" t="inlineStr">
        <is>
          <t>2027-06</t>
        </is>
      </c>
      <c r="B13">
        <f>Storage_Rolling!I13</f>
        <v>70.0</v>
      </c>
      <c r="C13">
        <f>Storage_Rolling!R13</f>
        <v>70.0</v>
      </c>
      <c r="D13">
        <f>Storage_Rolling!H13</f>
        <v>71.15581533371352</v>
      </c>
      <c r="E13">
        <f>Storage_Rolling!Q13</f>
        <v>21.44984508754974</v>
      </c>
      <c r="F13">
        <f>IF(Storage_Rolling!J13&gt;=1,1,0)</f>
        <v>1</v>
      </c>
      <c r="G13">
        <f>IF(Storage_Rolling!S13&gt;=1,1,0)</f>
        <v>1</v>
      </c>
      <c r="H13">
        <f>IF(Storage_Rolling!J13&gt;=2,1,0)</f>
        <v>1</v>
      </c>
      <c r="I13">
        <f>IF(Storage_Rolling!S13&gt;=2,1,0)</f>
        <v>1</v>
      </c>
      <c r="J13">
        <f>D13-E13</f>
        <v>49.70597024616378</v>
      </c>
    </row>
    <row r="14">
      <c r="A14" t="inlineStr">
        <is>
          <t>2027-07</t>
        </is>
      </c>
      <c r="B14">
        <f>Storage_Rolling!I14</f>
        <v>70.0</v>
      </c>
      <c r="C14">
        <f>Storage_Rolling!R14</f>
        <v>70.0</v>
      </c>
      <c r="D14">
        <f>Storage_Rolling!H14</f>
        <v>87.13171899243888</v>
      </c>
      <c r="E14">
        <f>Storage_Rolling!Q14</f>
        <v>65.86006957379988</v>
      </c>
      <c r="F14">
        <f>IF(Storage_Rolling!J14&gt;=1,1,0)</f>
        <v>1</v>
      </c>
      <c r="G14">
        <f>IF(Storage_Rolling!S14&gt;=1,1,0)</f>
        <v>1</v>
      </c>
      <c r="H14">
        <f>IF(Storage_Rolling!J14&gt;=2,1,0)</f>
        <v>1</v>
      </c>
      <c r="I14">
        <f>IF(Storage_Rolling!S14&gt;=2,1,0)</f>
        <v>1</v>
      </c>
      <c r="J14">
        <f>D14-E14</f>
        <v>21.271649418639</v>
      </c>
    </row>
    <row r="15">
      <c r="A15" t="inlineStr">
        <is>
          <t>2027-08</t>
        </is>
      </c>
      <c r="B15">
        <f>Storage_Rolling!I15</f>
        <v>70.0</v>
      </c>
      <c r="C15">
        <f>Storage_Rolling!R15</f>
        <v>70.0</v>
      </c>
      <c r="D15">
        <f>Storage_Rolling!H15</f>
        <v>103.16744055580733</v>
      </c>
      <c r="E15">
        <f>Storage_Rolling!Q15</f>
        <v>79.21774125576202</v>
      </c>
      <c r="F15">
        <f>IF(Storage_Rolling!J15&gt;=1,1,0)</f>
        <v>1</v>
      </c>
      <c r="G15">
        <f>IF(Storage_Rolling!S15&gt;=1,1,0)</f>
        <v>1</v>
      </c>
      <c r="H15">
        <f>IF(Storage_Rolling!J15&gt;=2,1,0)</f>
        <v>1</v>
      </c>
      <c r="I15">
        <f>IF(Storage_Rolling!S15&gt;=2,1,0)</f>
        <v>1</v>
      </c>
      <c r="J15">
        <f>D15-E15</f>
        <v>23.94969930004531</v>
      </c>
    </row>
    <row r="16">
      <c r="A16" t="inlineStr">
        <is>
          <t>2027-09</t>
        </is>
      </c>
      <c r="B16">
        <f>Storage_Rolling!I16</f>
        <v>70.0</v>
      </c>
      <c r="C16">
        <f>Storage_Rolling!R16</f>
        <v>70.0</v>
      </c>
      <c r="D16">
        <f>Storage_Rolling!H16</f>
        <v>109.62572233460088</v>
      </c>
      <c r="E16">
        <f>Storage_Rolling!Q16</f>
        <v>78.30077231437272</v>
      </c>
      <c r="F16">
        <f>IF(Storage_Rolling!J16&gt;=1,1,0)</f>
        <v>1</v>
      </c>
      <c r="G16">
        <f>IF(Storage_Rolling!S16&gt;=1,1,0)</f>
        <v>1</v>
      </c>
      <c r="H16">
        <f>IF(Storage_Rolling!J16&gt;=2,1,0)</f>
        <v>1</v>
      </c>
      <c r="I16">
        <f>IF(Storage_Rolling!S16&gt;=2,1,0)</f>
        <v>1</v>
      </c>
      <c r="J16">
        <f>D16-E16</f>
        <v>31.324950020228158</v>
      </c>
    </row>
  </sheetData>
</worksheet>
</file>