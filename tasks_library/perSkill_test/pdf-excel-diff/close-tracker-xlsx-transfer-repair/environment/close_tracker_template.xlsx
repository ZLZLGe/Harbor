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Tracker" sheetId="1" state="visible" r:id="rId1"/>
    <sheet name="Owner Map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  <color rgb="001F1F1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  <col width="14" customWidth="1" min="10" max="10"/>
  </cols>
  <sheetData>
    <row r="1" ht="24" customHeight="1">
      <c r="A1" s="1" t="inlineStr">
        <is>
          <t>March Close Tracker Template</t>
        </is>
      </c>
    </row>
    <row r="2" ht="20" customHeight="1">
      <c r="A2" s="2" t="inlineStr">
        <is>
          <t>Fix only the broken formulas; keep the existing layout intact.</t>
        </is>
      </c>
    </row>
    <row r="3" ht="22" customHeight="1">
      <c r="A3" s="3" t="inlineStr">
        <is>
          <t>entity</t>
        </is>
      </c>
      <c r="B3" s="3" t="inlineStr">
        <is>
          <t>close_item</t>
        </is>
      </c>
      <c r="C3" s="3" t="inlineStr">
        <is>
          <t>owner_id</t>
        </is>
      </c>
      <c r="D3" s="3" t="inlineStr">
        <is>
          <t>review_step</t>
        </is>
      </c>
      <c r="E3" s="3" t="inlineStr">
        <is>
          <t>planned_day</t>
        </is>
      </c>
      <c r="F3" s="3" t="inlineStr">
        <is>
          <t>actual_day</t>
        </is>
      </c>
      <c r="G3" s="3" t="inlineStr">
        <is>
          <t>status</t>
        </is>
      </c>
      <c r="H3" s="3" t="inlineStr">
        <is>
          <t>delay_days</t>
        </is>
      </c>
      <c r="I3" s="3" t="inlineStr">
        <is>
          <t>owner_email</t>
        </is>
      </c>
      <c r="J3" s="3" t="inlineStr">
        <is>
          <t>escalation</t>
        </is>
      </c>
    </row>
    <row r="4">
      <c r="A4" s="4" t="inlineStr">
        <is>
          <t>NA-100</t>
        </is>
      </c>
      <c r="B4" s="4" t="inlineStr">
        <is>
          <t>Revenue Cutoff</t>
        </is>
      </c>
      <c r="C4" s="5" t="inlineStr">
        <is>
          <t>OWN-17</t>
        </is>
      </c>
      <c r="D4" s="5" t="inlineStr">
        <is>
          <t>Controller Review</t>
        </is>
      </c>
      <c r="E4" s="6" t="n">
        <v>3</v>
      </c>
      <c r="F4" s="6" t="n">
        <v>3</v>
      </c>
      <c r="G4" s="7">
        <f>IF(E4="","Open",IF((E4-D4)&lt;=0,"On Time","Late"))</f>
        <v/>
      </c>
      <c r="H4" s="7">
        <f>IF(E4="","",MAX(E4-D4,0))</f>
        <v/>
      </c>
      <c r="I4" s="7">
        <f>INDEX('Owner Map'!$B$2:$B$5,MATCH(C4,'Owner Map'!$A$2:$A$5,0))</f>
        <v/>
      </c>
      <c r="J4" s="7">
        <f>IF(AND(G4="Late",H4&gt;=2),"Escalate","")</f>
        <v/>
      </c>
    </row>
    <row r="5">
      <c r="A5" s="4" t="inlineStr">
        <is>
          <t>NA-200</t>
        </is>
      </c>
      <c r="B5" s="4" t="inlineStr">
        <is>
          <t>Inventory Rollforward</t>
        </is>
      </c>
      <c r="C5" s="5" t="inlineStr">
        <is>
          <t>OWN-21</t>
        </is>
      </c>
      <c r="D5" s="5" t="inlineStr">
        <is>
          <t>Operations Review</t>
        </is>
      </c>
      <c r="E5" s="6" t="n">
        <v>4</v>
      </c>
      <c r="F5" s="6" t="n">
        <v>6</v>
      </c>
      <c r="G5" s="7">
        <f>IF(E5="","Open",IF((E5-D5)&lt;=0,"On Time","Late"))</f>
        <v/>
      </c>
      <c r="H5" s="7">
        <f>IF(E5="","",MAX(E5-D5,0))</f>
        <v/>
      </c>
      <c r="I5" s="7">
        <f>INDEX('Owner Map'!$B$2:$B$5,MATCH(C5,'Owner Map'!$A$2:$A$5,0))</f>
        <v/>
      </c>
      <c r="J5" s="7">
        <f>IF(AND(G5="Late",H5&gt;=2),"Escalate","")</f>
        <v/>
      </c>
    </row>
    <row r="6">
      <c r="A6" s="4" t="inlineStr">
        <is>
          <t>EU-110</t>
        </is>
      </c>
      <c r="B6" s="4" t="inlineStr">
        <is>
          <t>Cash Reconciliation</t>
        </is>
      </c>
      <c r="C6" s="5" t="inlineStr">
        <is>
          <t>OWN-34</t>
        </is>
      </c>
      <c r="D6" s="5" t="inlineStr">
        <is>
          <t>Treasury Check</t>
        </is>
      </c>
      <c r="E6" s="6" t="n">
        <v>5</v>
      </c>
      <c r="F6" s="6" t="n"/>
      <c r="G6" s="7">
        <f>IF(E6="","Open",IF((E6-D6)&lt;=0,"On Time","Late"))</f>
        <v/>
      </c>
      <c r="H6" s="7">
        <f>IF(E6="","",MAX(E6-D6,0))</f>
        <v/>
      </c>
      <c r="I6" s="7">
        <f>INDEX('Owner Map'!$B$2:$B$5,MATCH(C6,'Owner Map'!$A$2:$A$5,0))</f>
        <v/>
      </c>
      <c r="J6" s="7">
        <f>IF(AND(G6="Late",H6&gt;=2),"Escalate","")</f>
        <v/>
      </c>
    </row>
    <row r="7">
      <c r="A7" s="4" t="inlineStr">
        <is>
          <t>AP-330</t>
        </is>
      </c>
      <c r="B7" s="4" t="inlineStr">
        <is>
          <t>Deferred Revenue</t>
        </is>
      </c>
      <c r="C7" s="5" t="inlineStr">
        <is>
          <t>OWN-55</t>
        </is>
      </c>
      <c r="D7" s="5" t="inlineStr">
        <is>
          <t>Rev Rec Review</t>
        </is>
      </c>
      <c r="E7" s="6" t="n">
        <v>2</v>
      </c>
      <c r="F7" s="6" t="n">
        <v>7</v>
      </c>
      <c r="G7" s="7">
        <f>IF(E7="","Open",IF((E7-D7)&lt;=0,"On Time","Late"))</f>
        <v/>
      </c>
      <c r="H7" s="7">
        <f>IF(E7="","",MAX(E7-D7,0))</f>
        <v/>
      </c>
      <c r="I7" s="7">
        <f>INDEX('Owner Map'!$B$2:$B$5,MATCH(C7,'Owner Map'!$A$2:$A$5,0))</f>
        <v/>
      </c>
      <c r="J7" s="7">
        <f>IF(AND(G7="Late",H7&gt;=2),"Escalate","")</f>
        <v/>
      </c>
    </row>
    <row r="8">
      <c r="A8" s="4" t="inlineStr">
        <is>
          <t>HQ-900</t>
        </is>
      </c>
      <c r="B8" s="4" t="inlineStr">
        <is>
          <t>Intercompany Tie-out</t>
        </is>
      </c>
      <c r="C8" s="5" t="inlineStr">
        <is>
          <t>OWN-21</t>
        </is>
      </c>
      <c r="D8" s="5" t="inlineStr">
        <is>
          <t>CFO Review</t>
        </is>
      </c>
      <c r="E8" s="6" t="n">
        <v>6</v>
      </c>
      <c r="F8" s="6" t="n">
        <v>6</v>
      </c>
      <c r="G8" s="7">
        <f>IF(E8="","Open",IF((E8-D8)&lt;=0,"On Time","Late"))</f>
        <v/>
      </c>
      <c r="H8" s="7">
        <f>IF(E8="","",MAX(E8-D8,0))</f>
        <v/>
      </c>
      <c r="I8" s="7">
        <f>INDEX('Owner Map'!$B$2:$B$5,MATCH(C8,'Owner Map'!$A$2:$A$5,0))</f>
        <v/>
      </c>
      <c r="J8" s="7">
        <f>IF(AND(G8="Late",H8&gt;=2),"Escalate","")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2" customWidth="1" min="4" max="4"/>
  </cols>
  <sheetData>
    <row r="1" ht="24" customHeight="1">
      <c r="A1" s="1" t="inlineStr">
        <is>
          <t>Owner Lookup Table</t>
        </is>
      </c>
    </row>
    <row r="2" ht="22" customHeight="1">
      <c r="A2" s="3" t="inlineStr">
        <is>
          <t>owner_id</t>
        </is>
      </c>
      <c r="B2" s="3" t="inlineStr">
        <is>
          <t>owner_name</t>
        </is>
      </c>
      <c r="C2" s="3" t="inlineStr">
        <is>
          <t>owner_email</t>
        </is>
      </c>
      <c r="D2" s="3" t="inlineStr">
        <is>
          <t>team</t>
        </is>
      </c>
    </row>
    <row r="3">
      <c r="A3" s="4" t="inlineStr">
        <is>
          <t>OWN-17</t>
        </is>
      </c>
      <c r="B3" s="4" t="inlineStr">
        <is>
          <t>Mia Chen</t>
        </is>
      </c>
      <c r="C3" s="4" t="inlineStr">
        <is>
          <t>mia.chen@example.com</t>
        </is>
      </c>
      <c r="D3" s="4" t="inlineStr">
        <is>
          <t>Core</t>
        </is>
      </c>
    </row>
    <row r="4">
      <c r="A4" s="4" t="inlineStr">
        <is>
          <t>OWN-21</t>
        </is>
      </c>
      <c r="B4" s="4" t="inlineStr">
        <is>
          <t>Omar Bell</t>
        </is>
      </c>
      <c r="C4" s="4" t="inlineStr">
        <is>
          <t>omar.bell@example.com</t>
        </is>
      </c>
      <c r="D4" s="4" t="inlineStr">
        <is>
          <t>Core</t>
        </is>
      </c>
    </row>
    <row r="5">
      <c r="A5" s="4" t="inlineStr">
        <is>
          <t>OWN-34</t>
        </is>
      </c>
      <c r="B5" s="4" t="inlineStr">
        <is>
          <t>Priya Das</t>
        </is>
      </c>
      <c r="C5" s="4" t="inlineStr">
        <is>
          <t>priya.das@example.com</t>
        </is>
      </c>
      <c r="D5" s="4" t="inlineStr">
        <is>
          <t>Revenue</t>
        </is>
      </c>
    </row>
    <row r="6">
      <c r="A6" s="4" t="inlineStr">
        <is>
          <t>OWN-55</t>
        </is>
      </c>
      <c r="B6" s="4" t="inlineStr">
        <is>
          <t>Luca Park</t>
        </is>
      </c>
      <c r="C6" s="4" t="inlineStr">
        <is>
          <t>luca.park@example.com</t>
        </is>
      </c>
      <c r="D6" s="4" t="inlineStr">
        <is>
          <t>Ops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</cols>
  <sheetData>
    <row r="1" ht="24" customHeight="1">
      <c r="A1" s="1" t="inlineStr">
        <is>
          <t>Close Summary</t>
        </is>
      </c>
    </row>
    <row r="2" ht="20" customHeight="1">
      <c r="A2" s="8" t="inlineStr">
        <is>
          <t>Tracked Items</t>
        </is>
      </c>
      <c r="B2" s="7">
        <f>COUNTA('Close Tracker'!A4:A8)</f>
        <v/>
      </c>
    </row>
    <row r="3">
      <c r="A3" s="4" t="inlineStr">
        <is>
          <t>Late Items</t>
        </is>
      </c>
      <c r="B3" s="7">
        <f>COUNTIF('Close Tracker'!F4:F8,"Late")</f>
        <v/>
      </c>
    </row>
    <row r="4">
      <c r="A4" s="4" t="inlineStr">
        <is>
          <t>On Time Items</t>
        </is>
      </c>
      <c r="B4" s="7">
        <f>COUNTIF('Close Tracker'!F4:F8,"On Time")</f>
        <v/>
      </c>
    </row>
    <row r="5">
      <c r="A5" s="4" t="inlineStr">
        <is>
          <t>Open Items</t>
        </is>
      </c>
      <c r="B5" s="7">
        <f>COUNTIF('Close Tracker'!F4:F8,"Open")</f>
        <v/>
      </c>
    </row>
    <row r="6">
      <c r="A6" s="4" t="inlineStr">
        <is>
          <t>Escalations</t>
        </is>
      </c>
      <c r="B6" s="7">
        <f>COUNTIF('Close Tracker'!I4:I8,"Escalate")</f>
        <v/>
      </c>
    </row>
    <row r="7">
      <c r="A7" s="4" t="inlineStr">
        <is>
          <t>Max Delay</t>
        </is>
      </c>
      <c r="B7" s="7">
        <f>MAX('Close Tracker'!G4:G8)</f>
        <v/>
      </c>
    </row>
    <row r="8" ht="20" customHeight="1">
      <c r="A8" s="8" t="inlineStr">
        <is>
          <t>Average Delay</t>
        </is>
      </c>
      <c r="B8" s="7">
        <f>AVERAGEIF('Close Tracker'!G4:G8,"&gt;0")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2026-03-24T19:12:15Z</dcterms:created>
  <dcterms:modified xsi:type="dcterms:W3CDTF">2026-03-24T19:12:15Z</dcterms:modified>
</cp:coreProperties>
</file>