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_events" sheetId="1" r:id="rId1"/>
    <sheet name="shift_summary" sheetId="2" r:id="rId2"/>
    <sheet name="exceptions" sheetId="3" r:id="rId3"/>
    <sheet name="dashboard" sheetId="4" r:id="rId4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10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9"/>
  <sheetData>
    <row r="1">
      <c r="A1" t="inlineStr">
        <is>
          <t>event_id</t>
        </is>
      </c>
      <c r="B1" t="inlineStr">
        <is>
          <t>shift_id</t>
        </is>
      </c>
      <c r="C1" t="inlineStr">
        <is>
          <t>picker_id</t>
        </is>
      </c>
      <c r="D1" t="inlineStr">
        <is>
          <t>item_sku</t>
        </is>
      </c>
      <c r="E1" t="inlineStr">
        <is>
          <t>units_picked</t>
        </is>
      </c>
      <c r="F1" t="inlineStr">
        <is>
          <t>active_seconds</t>
        </is>
      </c>
      <c r="G1" t="inlineStr">
        <is>
          <t>scan_started_at</t>
        </is>
      </c>
      <c r="H1" t="inlineStr">
        <is>
          <t>scan_finished_at</t>
        </is>
      </c>
      <c r="I1" t="inlineStr">
        <is>
          <t>overdue_flag</t>
        </is>
      </c>
      <c r="J1" t="inlineStr">
        <is>
          <t>exception_flag</t>
        </is>
      </c>
      <c r="K1" t="inlineStr">
        <is>
          <t>exception_reason</t>
        </is>
      </c>
    </row>
    <row r="2">
      <c r="A2" t="inlineStr">
        <is>
          <t>E001</t>
        </is>
      </c>
      <c r="B2" t="inlineStr">
        <is>
          <t>S1</t>
        </is>
      </c>
      <c r="C2" t="inlineStr">
        <is>
          <t>P01</t>
        </is>
      </c>
      <c r="D2" t="inlineStr">
        <is>
          <t>SKU-100</t>
        </is>
      </c>
      <c r="E2">
        <v>10</v>
      </c>
      <c r="F2">
        <v>100</v>
      </c>
      <c r="G2" t="inlineStr">
        <is>
          <t>2026-02-14 06:05</t>
        </is>
      </c>
      <c r="H2" t="inlineStr">
        <is>
          <t>2026-02-14 06:07</t>
        </is>
      </c>
      <c r="I2" t="inlineStr">
        <is>
          <t>N</t>
        </is>
      </c>
      <c r="J2" t="inlineStr">
        <is>
          <t>N</t>
        </is>
      </c>
      <c r="K2" t="inlineStr">
        <is>
          <t/>
        </is>
      </c>
    </row>
    <row r="3">
      <c r="A3" t="inlineStr">
        <is>
          <t>E002</t>
        </is>
      </c>
      <c r="B3" t="inlineStr">
        <is>
          <t>S1</t>
        </is>
      </c>
      <c r="C3" t="inlineStr">
        <is>
          <t>P02</t>
        </is>
      </c>
      <c r="D3" t="inlineStr">
        <is>
          <t>SKU-220</t>
        </is>
      </c>
      <c r="E3">
        <v>8</v>
      </c>
      <c r="F3">
        <v>120</v>
      </c>
      <c r="G3" t="inlineStr">
        <is>
          <t>2026-02-14 06:20</t>
        </is>
      </c>
      <c r="H3" t="inlineStr">
        <is>
          <t>2026-02-14 06:22</t>
        </is>
      </c>
      <c r="I3" t="inlineStr">
        <is>
          <t>Y</t>
        </is>
      </c>
      <c r="J3" t="inlineStr">
        <is>
          <t>N</t>
        </is>
      </c>
      <c r="K3" t="inlineStr">
        <is>
          <t/>
        </is>
      </c>
    </row>
    <row r="4">
      <c r="A4" t="inlineStr">
        <is>
          <t>E003</t>
        </is>
      </c>
      <c r="B4" t="inlineStr">
        <is>
          <t>S1</t>
        </is>
      </c>
      <c r="C4" t="inlineStr">
        <is>
          <t>P03</t>
        </is>
      </c>
      <c r="D4" t="inlineStr">
        <is>
          <t>SKU-440</t>
        </is>
      </c>
      <c r="E4">
        <v>6</v>
      </c>
      <c r="F4">
        <v>60</v>
      </c>
      <c r="G4" t="inlineStr">
        <is>
          <t>2026-02-14 06:45</t>
        </is>
      </c>
      <c r="H4" t="inlineStr">
        <is>
          <t>2026-02-14 06:46</t>
        </is>
      </c>
      <c r="I4" t="inlineStr">
        <is>
          <t>N</t>
        </is>
      </c>
      <c r="J4" t="inlineStr">
        <is>
          <t>Y</t>
        </is>
      </c>
      <c r="K4" t="inlineStr">
        <is>
          <t>DAMAGED_LABEL</t>
        </is>
      </c>
    </row>
    <row r="5">
      <c r="A5" t="inlineStr">
        <is>
          <t>E004</t>
        </is>
      </c>
      <c r="B5" t="inlineStr">
        <is>
          <t>S2</t>
        </is>
      </c>
      <c r="C5" t="inlineStr">
        <is>
          <t>P04</t>
        </is>
      </c>
      <c r="D5" t="inlineStr">
        <is>
          <t>SKU-510</t>
        </is>
      </c>
      <c r="E5">
        <v>12</v>
      </c>
      <c r="F5">
        <v>156</v>
      </c>
      <c r="G5" t="inlineStr">
        <is>
          <t>2026-02-14 14:10</t>
        </is>
      </c>
      <c r="H5" t="inlineStr">
        <is>
          <t>2026-02-14 14:13</t>
        </is>
      </c>
      <c r="I5" t="inlineStr">
        <is>
          <t>Y</t>
        </is>
      </c>
      <c r="J5" t="inlineStr">
        <is>
          <t>N</t>
        </is>
      </c>
      <c r="K5" t="inlineStr">
        <is>
          <t/>
        </is>
      </c>
    </row>
    <row r="6">
      <c r="A6" t="inlineStr">
        <is>
          <t>E005</t>
        </is>
      </c>
      <c r="B6" t="inlineStr">
        <is>
          <t>S2</t>
        </is>
      </c>
      <c r="C6" t="inlineStr">
        <is>
          <t>P05</t>
        </is>
      </c>
      <c r="D6" t="inlineStr">
        <is>
          <t>SKU-611</t>
        </is>
      </c>
      <c r="E6">
        <v>9</v>
      </c>
      <c r="F6">
        <v>81</v>
      </c>
      <c r="G6" t="inlineStr">
        <is>
          <t>2026-02-14 14:30</t>
        </is>
      </c>
      <c r="H6" t="inlineStr">
        <is>
          <t>2026-02-14 14:31</t>
        </is>
      </c>
      <c r="I6" t="inlineStr">
        <is>
          <t>N</t>
        </is>
      </c>
      <c r="J6" t="inlineStr">
        <is>
          <t>N</t>
        </is>
      </c>
      <c r="K6" t="inlineStr">
        <is>
          <t/>
        </is>
      </c>
    </row>
    <row r="7">
      <c r="A7" t="inlineStr">
        <is>
          <t>E006</t>
        </is>
      </c>
      <c r="B7" t="inlineStr">
        <is>
          <t>S2</t>
        </is>
      </c>
      <c r="C7" t="inlineStr">
        <is>
          <t>P06</t>
        </is>
      </c>
      <c r="D7" t="inlineStr">
        <is>
          <t>SKU-734</t>
        </is>
      </c>
      <c r="E7">
        <v>7</v>
      </c>
      <c r="F7">
        <v>77</v>
      </c>
      <c r="G7" t="inlineStr">
        <is>
          <t>2026-02-14 15:05</t>
        </is>
      </c>
      <c r="H7" t="inlineStr">
        <is>
          <t>2026-02-14 15:06</t>
        </is>
      </c>
      <c r="I7" t="inlineStr">
        <is>
          <t>N</t>
        </is>
      </c>
      <c r="J7" t="inlineStr">
        <is>
          <t>Y</t>
        </is>
      </c>
      <c r="K7" t="inlineStr">
        <is>
          <t>MISSING_BIN</t>
        </is>
      </c>
    </row>
    <row r="8">
      <c r="A8" t="inlineStr">
        <is>
          <t>E007</t>
        </is>
      </c>
      <c r="B8" t="inlineStr">
        <is>
          <t>S3</t>
        </is>
      </c>
      <c r="C8" t="inlineStr">
        <is>
          <t>P07</t>
        </is>
      </c>
      <c r="D8" t="inlineStr">
        <is>
          <t>SKU-845</t>
        </is>
      </c>
      <c r="E8">
        <v>11</v>
      </c>
      <c r="F8">
        <v>99</v>
      </c>
      <c r="G8" t="inlineStr">
        <is>
          <t>2026-02-15 06:15</t>
        </is>
      </c>
      <c r="H8" t="inlineStr">
        <is>
          <t>2026-02-15 06:17</t>
        </is>
      </c>
      <c r="I8" t="inlineStr">
        <is>
          <t>N</t>
        </is>
      </c>
      <c r="J8" t="inlineStr">
        <is>
          <t>N</t>
        </is>
      </c>
      <c r="K8" t="inlineStr">
        <is>
          <t/>
        </is>
      </c>
    </row>
    <row r="9">
      <c r="A9" t="inlineStr">
        <is>
          <t>E008</t>
        </is>
      </c>
      <c r="B9" t="inlineStr">
        <is>
          <t>S3</t>
        </is>
      </c>
      <c r="C9" t="inlineStr">
        <is>
          <t>P08</t>
        </is>
      </c>
      <c r="D9" t="inlineStr">
        <is>
          <t>SKU-990</t>
        </is>
      </c>
      <c r="E9">
        <v>5</v>
      </c>
      <c r="F9">
        <v>80</v>
      </c>
      <c r="G9" t="inlineStr">
        <is>
          <t>2026-02-15 07:00</t>
        </is>
      </c>
      <c r="H9" t="inlineStr">
        <is>
          <t>2026-02-15 07:02</t>
        </is>
      </c>
      <c r="I9" t="inlineStr">
        <is>
          <t>Y</t>
        </is>
      </c>
      <c r="J9" t="inlineStr">
        <is>
          <t>Y</t>
        </is>
      </c>
      <c r="K9" t="inlineStr">
        <is>
          <t>SHORT_PICK</t>
        </is>
      </c>
    </row>
  </sheetData>
</worksheet>
</file>

<file path=xl/worksheets/sheet2.xml><?xml version="1.0" encoding="utf-8"?>
<worksheet xmlns="http://schemas.openxmlformats.org/spreadsheetml/2006/main">
  <dimension ref="A1:M4"/>
  <sheetData>
    <row r="1">
      <c r="A1" t="inlineStr">
        <is>
          <t>shift_id</t>
        </is>
      </c>
      <c r="B1" t="inlineStr">
        <is>
          <t>shift_date</t>
        </is>
      </c>
      <c r="C1" t="inlineStr">
        <is>
          <t>zone</t>
        </is>
      </c>
      <c r="D1" t="inlineStr">
        <is>
          <t>picker_count</t>
        </is>
      </c>
      <c r="E1" t="inlineStr">
        <is>
          <t>target_secs_per_unit</t>
        </is>
      </c>
      <c r="F1" t="inlineStr">
        <is>
          <t>event_count</t>
        </is>
      </c>
      <c r="G1" t="inlineStr">
        <is>
          <t>units_picked</t>
        </is>
      </c>
      <c r="H1" t="inlineStr">
        <is>
          <t>total_active_seconds</t>
        </is>
      </c>
      <c r="I1" t="inlineStr">
        <is>
          <t>avg_secs_per_unit</t>
        </is>
      </c>
      <c r="J1" t="inlineStr">
        <is>
          <t>overdue_rate</t>
        </is>
      </c>
      <c r="K1" t="inlineStr">
        <is>
          <t>exception_count</t>
        </is>
      </c>
      <c r="L1" t="inlineStr">
        <is>
          <t>exception_rate</t>
        </is>
      </c>
      <c r="M1" t="inlineStr">
        <is>
          <t>efficiency_gap</t>
        </is>
      </c>
    </row>
    <row r="2">
      <c r="A2" t="inlineStr">
        <is>
          <t>S1</t>
        </is>
      </c>
      <c r="B2" t="inlineStr">
        <is>
          <t>2026-02-14</t>
        </is>
      </c>
      <c r="C2" t="inlineStr">
        <is>
          <t>A</t>
        </is>
      </c>
      <c r="D2">
        <v>4</v>
      </c>
      <c r="E2">
        <v>12</v>
      </c>
      <c r="F2">
        <f>COUNTIF(raw_events!$B$2:$B$9,A2)</f>
        <v>3</v>
      </c>
      <c r="G2">
        <f>SUMIF(raw_events!$B$2:$B$9,A2,raw_events!$E$2:$E$9)</f>
        <v>24</v>
      </c>
      <c r="H2">
        <f>SUMIF(raw_events!$B$2:$B$9,A2,raw_events!$F$2:$F$9)</f>
        <v>280</v>
      </c>
      <c r="I2">
        <f>IF(G2=0,0,H2/G2)</f>
        <v>11.6666666666667</v>
      </c>
      <c r="J2">
        <f>IF(F2=0,0,COUNTIFS(raw_events!$B$2:$B$9,A2,raw_events!$I$2:$I$9,"Y")/F2)</f>
        <v>0.333333333333333</v>
      </c>
      <c r="K2">
        <f>COUNTIFS(raw_events!$B$2:$B$9,A2,raw_events!$J$2:$J$9,"Y")</f>
        <v>1</v>
      </c>
      <c r="L2">
        <f>IF(F2=0,0,K2/F2)</f>
        <v>0.333333333333333</v>
      </c>
      <c r="M2">
        <f>I2-E2</f>
        <v>-0.333333333333334</v>
      </c>
    </row>
    <row r="3">
      <c r="A3" t="inlineStr">
        <is>
          <t>S2</t>
        </is>
      </c>
      <c r="B3" t="inlineStr">
        <is>
          <t>2026-02-14</t>
        </is>
      </c>
      <c r="C3" t="inlineStr">
        <is>
          <t>B</t>
        </is>
      </c>
      <c r="D3">
        <v>3</v>
      </c>
      <c r="E3">
        <v>10</v>
      </c>
      <c r="F3">
        <f>COUNTIF(raw_events!$B$2:$B$9,A3)</f>
        <v>3</v>
      </c>
      <c r="G3">
        <f>SUMIF(raw_events!$B$2:$B$9,A3,raw_events!$E$2:$E$9)</f>
        <v>28</v>
      </c>
      <c r="H3">
        <f>SUMIF(raw_events!$B$2:$B$9,A3,raw_events!$F$2:$F$9)</f>
        <v>314</v>
      </c>
      <c r="I3">
        <f>IF(G3=0,0,H3/G3)</f>
        <v>11.2142857142857</v>
      </c>
      <c r="J3">
        <f>IF(F3=0,0,COUNTIFS(raw_events!$B$2:$B$9,A3,raw_events!$I$2:$I$9,"Y")/F3)</f>
        <v>0.333333333333333</v>
      </c>
      <c r="K3">
        <f>COUNTIFS(raw_events!$B$2:$B$9,A3,raw_events!$J$2:$J$9,"Y")</f>
        <v>1</v>
      </c>
      <c r="L3">
        <f>IF(F3=0,0,K3/F3)</f>
        <v>0.333333333333333</v>
      </c>
      <c r="M3">
        <f>I3-E3</f>
        <v>1.21428571428571</v>
      </c>
    </row>
    <row r="4">
      <c r="A4" t="inlineStr">
        <is>
          <t>S3</t>
        </is>
      </c>
      <c r="B4" t="inlineStr">
        <is>
          <t>2026-02-15</t>
        </is>
      </c>
      <c r="C4" t="inlineStr">
        <is>
          <t>A</t>
        </is>
      </c>
      <c r="D4">
        <v>5</v>
      </c>
      <c r="E4">
        <v>11</v>
      </c>
      <c r="F4">
        <f>COUNTIF(raw_events!$B$2:$B$9,A4)</f>
        <v>2</v>
      </c>
      <c r="G4">
        <f>SUMIF(raw_events!$B$2:$B$9,A4,raw_events!$E$2:$E$9)</f>
        <v>16</v>
      </c>
      <c r="H4">
        <f>SUMIF(raw_events!$B$2:$B$9,A4,raw_events!$F$2:$F$9)</f>
        <v>179</v>
      </c>
      <c r="I4">
        <f>IF(G4=0,0,H4/G4)</f>
        <v>11.1875</v>
      </c>
      <c r="J4">
        <f>IF(F4=0,0,COUNTIFS(raw_events!$B$2:$B$9,A4,raw_events!$I$2:$I$9,"Y")/F4)</f>
        <v>0.5</v>
      </c>
      <c r="K4">
        <f>COUNTIFS(raw_events!$B$2:$B$9,A4,raw_events!$J$2:$J$9,"Y")</f>
        <v>1</v>
      </c>
      <c r="L4">
        <f>IF(F4=0,0,K4/F4)</f>
        <v>0.5</v>
      </c>
      <c r="M4">
        <f>I4-E4</f>
        <v>0.1875</v>
      </c>
    </row>
  </sheetData>
</worksheet>
</file>

<file path=xl/worksheets/sheet3.xml><?xml version="1.0" encoding="utf-8"?>
<worksheet xmlns="http://schemas.openxmlformats.org/spreadsheetml/2006/main">
  <dimension ref="A1:I6"/>
  <sheetData>
    <row r="1">
      <c r="A1" t="inlineStr">
        <is>
          <t>event_id</t>
        </is>
      </c>
      <c r="B1" t="inlineStr">
        <is>
          <t>shift_id</t>
        </is>
      </c>
      <c r="C1" t="inlineStr">
        <is>
          <t>picker_id</t>
        </is>
      </c>
      <c r="D1" t="inlineStr">
        <is>
          <t>issue_type</t>
        </is>
      </c>
      <c r="E1" t="inlineStr">
        <is>
          <t>overdue_flag</t>
        </is>
      </c>
      <c r="F1" t="inlineStr">
        <is>
          <t>exception_flag</t>
        </is>
      </c>
      <c r="G1" t="inlineStr">
        <is>
          <t>exception_reason</t>
        </is>
      </c>
      <c r="H1" t="inlineStr">
        <is>
          <t>units_picked</t>
        </is>
      </c>
      <c r="I1" t="inlineStr">
        <is>
          <t>active_seconds</t>
        </is>
      </c>
    </row>
    <row r="2">
      <c r="A2" t="inlineStr">
        <is>
          <t>E002</t>
        </is>
      </c>
      <c r="B2" t="inlineStr">
        <is>
          <t>S1</t>
        </is>
      </c>
      <c r="C2" t="inlineStr">
        <is>
          <t>P02</t>
        </is>
      </c>
      <c r="D2" t="inlineStr">
        <is>
          <t>overdue</t>
        </is>
      </c>
      <c r="E2" t="inlineStr">
        <is>
          <t>Y</t>
        </is>
      </c>
      <c r="F2" t="inlineStr">
        <is>
          <t>N</t>
        </is>
      </c>
      <c r="G2" t="inlineStr">
        <is>
          <t/>
        </is>
      </c>
      <c r="H2">
        <v>8</v>
      </c>
      <c r="I2">
        <v>120</v>
      </c>
    </row>
    <row r="3">
      <c r="A3" t="inlineStr">
        <is>
          <t>E003</t>
        </is>
      </c>
      <c r="B3" t="inlineStr">
        <is>
          <t>S1</t>
        </is>
      </c>
      <c r="C3" t="inlineStr">
        <is>
          <t>P03</t>
        </is>
      </c>
      <c r="D3" t="inlineStr">
        <is>
          <t>exception</t>
        </is>
      </c>
      <c r="E3" t="inlineStr">
        <is>
          <t>N</t>
        </is>
      </c>
      <c r="F3" t="inlineStr">
        <is>
          <t>Y</t>
        </is>
      </c>
      <c r="G3" t="inlineStr">
        <is>
          <t>DAMAGED_LABEL</t>
        </is>
      </c>
      <c r="H3">
        <v>6</v>
      </c>
      <c r="I3">
        <v>60</v>
      </c>
    </row>
    <row r="4">
      <c r="A4" t="inlineStr">
        <is>
          <t>E004</t>
        </is>
      </c>
      <c r="B4" t="inlineStr">
        <is>
          <t>S2</t>
        </is>
      </c>
      <c r="C4" t="inlineStr">
        <is>
          <t>P04</t>
        </is>
      </c>
      <c r="D4" t="inlineStr">
        <is>
          <t>overdue</t>
        </is>
      </c>
      <c r="E4" t="inlineStr">
        <is>
          <t>Y</t>
        </is>
      </c>
      <c r="F4" t="inlineStr">
        <is>
          <t>N</t>
        </is>
      </c>
      <c r="G4" t="inlineStr">
        <is>
          <t/>
        </is>
      </c>
      <c r="H4">
        <v>12</v>
      </c>
      <c r="I4">
        <v>156</v>
      </c>
    </row>
    <row r="5">
      <c r="A5" t="inlineStr">
        <is>
          <t>E006</t>
        </is>
      </c>
      <c r="B5" t="inlineStr">
        <is>
          <t>S2</t>
        </is>
      </c>
      <c r="C5" t="inlineStr">
        <is>
          <t>P06</t>
        </is>
      </c>
      <c r="D5" t="inlineStr">
        <is>
          <t>exception</t>
        </is>
      </c>
      <c r="E5" t="inlineStr">
        <is>
          <t>N</t>
        </is>
      </c>
      <c r="F5" t="inlineStr">
        <is>
          <t>Y</t>
        </is>
      </c>
      <c r="G5" t="inlineStr">
        <is>
          <t>MISSING_BIN</t>
        </is>
      </c>
      <c r="H5">
        <v>7</v>
      </c>
      <c r="I5">
        <v>77</v>
      </c>
    </row>
    <row r="6">
      <c r="A6" t="inlineStr">
        <is>
          <t>E008</t>
        </is>
      </c>
      <c r="B6" t="inlineStr">
        <is>
          <t>S3</t>
        </is>
      </c>
      <c r="C6" t="inlineStr">
        <is>
          <t>P08</t>
        </is>
      </c>
      <c r="D6" t="inlineStr">
        <is>
          <t>overdue+exception</t>
        </is>
      </c>
      <c r="E6" t="inlineStr">
        <is>
          <t>Y</t>
        </is>
      </c>
      <c r="F6" t="inlineStr">
        <is>
          <t>Y</t>
        </is>
      </c>
      <c r="G6" t="inlineStr">
        <is>
          <t>SHORT_PICK</t>
        </is>
      </c>
      <c r="H6">
        <v>5</v>
      </c>
      <c r="I6">
        <v>80</v>
      </c>
    </row>
  </sheetData>
</worksheet>
</file>

<file path=xl/worksheets/sheet4.xml><?xml version="1.0" encoding="utf-8"?>
<worksheet xmlns="http://schemas.openxmlformats.org/spreadsheetml/2006/main">
  <dimension ref="A1:B8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total_shifts</t>
        </is>
      </c>
      <c r="B2">
        <f>COUNTA(shift_summary!$A$2:$A$4)</f>
        <v>3</v>
      </c>
    </row>
    <row r="3">
      <c r="A3" t="inlineStr">
        <is>
          <t>total_units</t>
        </is>
      </c>
      <c r="B3">
        <f>SUM(shift_summary!$G$2:$G$4)</f>
        <v>68</v>
      </c>
    </row>
    <row r="4">
      <c r="A4" t="inlineStr">
        <is>
          <t>weighted_avg_secs_per_unit</t>
        </is>
      </c>
      <c r="B4">
        <f>IF(B3=0,0,SUM(shift_summary!$H$2:$H$4)/B3)</f>
        <v>11.3676470588235</v>
      </c>
    </row>
    <row r="5">
      <c r="A5" t="inlineStr">
        <is>
          <t>overall_overdue_rate</t>
        </is>
      </c>
      <c r="B5">
        <f>IF(SUM(shift_summary!$F$2:$F$4)=0,0,SUMPRODUCT(shift_summary!$F$2:$F$4,shift_summary!$J$2:$J$4)/SUM(shift_summary!$F$2:$F$4))</f>
        <v>0.375</v>
      </c>
    </row>
    <row r="6">
      <c r="A6" t="inlineStr">
        <is>
          <t>overall_exception_rate</t>
        </is>
      </c>
      <c r="B6">
        <f>IF(SUM(shift_summary!$F$2:$F$4)=0,0,SUM(shift_summary!$K$2:$K$4)/SUM(shift_summary!$F$2:$F$4))</f>
        <v>0.375</v>
      </c>
    </row>
    <row r="7">
      <c r="A7" t="inlineStr">
        <is>
          <t>slowest_shift</t>
        </is>
      </c>
      <c r="B7" t="str">
        <f>INDEX(shift_summary!$A$2:$A$4,MATCH(MAX(shift_summary!$I$2:$I$4),shift_summary!$I$2:$I$4,0))</f>
        <v>S1</v>
      </c>
    </row>
    <row r="8">
      <c r="A8" t="inlineStr">
        <is>
          <t>highest_overdue_rate_shift</t>
        </is>
      </c>
      <c r="B8" t="str">
        <f>INDEX(shift_summary!$A$2:$A$4,MATCH(MAX(shift_summary!$J$2:$J$4),shift_summary!$J$2:$J$4,0))</f>
        <v>S3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raw_events</vt:lpstr>
      <vt:lpstr>shift_summary</vt:lpstr>
      <vt:lpstr>exceptions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terms:created xsi:type="dcterms:W3CDTF">2026-03-20T10:35:03Z</dcterms:created>
  <dcterms:modified xsi:type="dcterms:W3CDTF">2026-03-20T10:35:03Z</dcterms:modified>
</cp:coreProperties>
</file>