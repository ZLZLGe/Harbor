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4000" windowHeight="12000"/>
  </bookViews>
  <sheets>
    <sheet name="成绩册" sheetId="1" r:id="rId1"/>
    <sheet name="课程概览" sheetId="2" r:id="rId2"/>
  </sheets>
  <calcPr calcId="171027" fullCalcOnLoad="1" forceFullCalc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出勤</t>
        </is>
      </c>
      <c r="D1" t="inlineStr">
        <is>
          <t>小测1</t>
        </is>
      </c>
      <c r="E1" t="inlineStr">
        <is>
          <t>小测2</t>
        </is>
      </c>
      <c r="F1" t="inlineStr">
        <is>
          <t>小测3</t>
        </is>
      </c>
      <c r="G1" t="inlineStr">
        <is>
          <t>小测4</t>
        </is>
      </c>
      <c r="H1" t="inlineStr">
        <is>
          <t>作业</t>
        </is>
      </c>
      <c r="I1" t="inlineStr">
        <is>
          <t>总评</t>
        </is>
      </c>
      <c r="J1" t="inlineStr">
        <is>
          <t>等级</t>
        </is>
      </c>
      <c r="K1" t="inlineStr">
        <is>
          <t>评语</t>
        </is>
      </c>
    </row>
    <row r="2">
      <c r="A2" t="inlineStr">
        <is>
          <t>20231101</t>
        </is>
      </c>
      <c r="B2" t="inlineStr">
        <is>
          <t>张宁</t>
        </is>
      </c>
      <c r="C2">
        <v>96</v>
      </c>
      <c r="D2">
        <v>84</v>
      </c>
      <c r="E2">
        <v>42</v>
      </c>
      <c r="F2">
        <v>88</v>
      </c>
      <c r="G2">
        <v>38</v>
      </c>
      <c r="H2">
        <v>90</v>
      </c>
      <c r="I2">
        <f>ROUND(C2*0.1+H2*0.15+AVERAGE(D2:G2)*0.75,1)</f>
        <v>70.3</v>
      </c>
      <c r="J2" t="str">
        <f>IF(I2&gt;=90,"A",IF(I2&gt;=80,"B",IF(I2&gt;=70,"C","D")))</f>
        <v>C</v>
      </c>
      <c r="K2" t="inlineStr">
        <is>
          <t>补考前两次低分需要关注</t>
        </is>
      </c>
    </row>
    <row r="3">
      <c r="A3" t="inlineStr">
        <is>
          <t>20231102</t>
        </is>
      </c>
      <c r="B3" t="inlineStr">
        <is>
          <t>李然</t>
        </is>
      </c>
      <c r="C3">
        <v>89</v>
      </c>
      <c r="D3">
        <v>78</v>
      </c>
      <c r="E3">
        <v>83</v>
      </c>
      <c r="F3">
        <v>80</v>
      </c>
      <c r="G3">
        <v>76</v>
      </c>
      <c r="H3">
        <v>92</v>
      </c>
      <c r="I3">
        <f>ROUND(C3*0.1+H3*0.15+AVERAGE(D3:G3)*0.75,1)</f>
        <v>82.1</v>
      </c>
      <c r="J3" t="str">
        <f>IF(I3&gt;=90,"A",IF(I3&gt;=80,"B",IF(I3&gt;=70,"C","D")))</f>
        <v>B</v>
      </c>
      <c r="K3" t="inlineStr">
        <is>
          <t>课堂参与积极</t>
        </is>
      </c>
    </row>
    <row r="4">
      <c r="A4" t="inlineStr">
        <is>
          <t>20231103</t>
        </is>
      </c>
      <c r="B4" t="inlineStr">
        <is>
          <t>周乔</t>
        </is>
      </c>
      <c r="C4">
        <v>98</v>
      </c>
      <c r="D4">
        <v>91</v>
      </c>
      <c r="E4">
        <v>59</v>
      </c>
      <c r="F4">
        <v>94</v>
      </c>
      <c r="G4">
        <v>56</v>
      </c>
      <c r="H4">
        <v>95</v>
      </c>
      <c r="I4">
        <f>ROUND(C4*0.1+H4*0.15+AVERAGE(D4:G4)*0.75,1)</f>
        <v>80.3</v>
      </c>
      <c r="J4" t="str">
        <f>IF(I4&gt;=90,"A",IF(I4&gt;=80,"B",IF(I4&gt;=70,"C","D")))</f>
        <v>B</v>
      </c>
      <c r="K4" t="inlineStr">
        <is>
          <t>作业质量高</t>
        </is>
      </c>
    </row>
    <row r="5">
      <c r="A5" t="inlineStr">
        <is>
          <t>20231104</t>
        </is>
      </c>
      <c r="B5" t="inlineStr">
        <is>
          <t>赵欣</t>
        </is>
      </c>
      <c r="C5">
        <v>90</v>
      </c>
      <c r="D5">
        <v>72</v>
      </c>
      <c r="E5">
        <v>76</v>
      </c>
      <c r="F5">
        <v>81</v>
      </c>
      <c r="G5">
        <v>60</v>
      </c>
      <c r="H5">
        <v>84</v>
      </c>
      <c r="I5">
        <f>ROUND(C5*0.1+H5*0.15+AVERAGE(D5:G5)*0.75,1)</f>
        <v>75.8</v>
      </c>
      <c r="J5" t="str">
        <f>IF(I5&gt;=90,"A",IF(I5&gt;=80,"B",IF(I5&gt;=70,"C","D")))</f>
        <v>C</v>
      </c>
      <c r="K5" t="inlineStr">
        <is>
          <t>建议补做错题回顾</t>
        </is>
      </c>
    </row>
    <row r="6">
      <c r="A6" t="inlineStr">
        <is>
          <t>20231105</t>
        </is>
      </c>
      <c r="B6" t="inlineStr">
        <is>
          <t>陈果</t>
        </is>
      </c>
      <c r="C6">
        <v>88</v>
      </c>
      <c r="D6">
        <v>87</v>
      </c>
      <c r="E6">
        <v>70</v>
      </c>
      <c r="F6">
        <v>92</v>
      </c>
      <c r="G6">
        <v>65</v>
      </c>
      <c r="H6">
        <v>89</v>
      </c>
      <c r="I6">
        <f>ROUND(C6*0.1+H6*0.15+AVERAGE(D6:G6)*0.75,1)</f>
        <v>81.0</v>
      </c>
      <c r="J6" t="str">
        <f>IF(I6&gt;=90,"A",IF(I6&gt;=80,"B",IF(I6&gt;=70,"C","D")))</f>
        <v>B</v>
      </c>
      <c r="K6" t="inlineStr">
        <is>
          <t>状态平稳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班级人数</t>
        </is>
      </c>
      <c r="B2">
        <f>COUNTA(成绩册!A2:A6)</f>
        <v>5</v>
      </c>
    </row>
    <row r="3">
      <c r="A3" t="inlineStr">
        <is>
          <t>总评均分</t>
        </is>
      </c>
      <c r="B3">
        <f>ROUND(AVERAGE(成绩册!I2:I6),1)</f>
        <v>77.9</v>
      </c>
    </row>
    <row r="4">
      <c r="A4" t="inlineStr">
        <is>
          <t>B档及以上人数</t>
        </is>
      </c>
      <c r="B4">
        <f>COUNTIF(成绩册!J2:J6,"A")+COUNTIF(成绩册!J2:J6,"B")</f>
        <v>3</v>
      </c>
    </row>
    <row r="5">
      <c r="A5" t="inlineStr">
        <is>
          <t>需跟进人数</t>
        </is>
      </c>
      <c r="B5">
        <f>COUNTIF(成绩册!J2:J6,"C")+COUNTIF(成绩册!J2:J6,"D")</f>
        <v>2</v>
      </c>
    </row>
    <row r="6">
      <c r="A6" t="inlineStr">
        <is>
          <t>补考说明</t>
        </is>
      </c>
      <c r="B6" t="inlineStr">
        <is>
          <t>只允许覆盖小测2和小测4，空白补考分数忽略。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</dc:creator>
  <cp:lastModifiedBy>Levi</cp:lastModifiedBy>
  <dcterms:created xsi:type="dcterms:W3CDTF">2026-03-25T00:00:00Z</dcterms:created>
  <dcterms:modified xsi:type="dcterms:W3CDTF">2026-03-25T00:00:00Z</dcterms:modified>
</cp:coreProperties>
</file>