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128"/>
  <workbookPr/>
  <bookViews>
    <workbookView xWindow="0" yWindow="0" windowWidth="24000" windowHeight="14000"/>
  </bookViews>
  <sheets>
    <sheet name="需求录入" sheetId="1" r:id="rId1"/>
    <sheet name="报价明细" sheetId="2" r:id="rId2"/>
    <sheet name="汇总" sheetId="3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"/>
    </font>
    <font>
      <sz val="14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活动名称</t>
        </is>
      </c>
      <c r="B2" t="inlineStr">
        <is>
          <t/>
        </is>
      </c>
    </row>
    <row r="3">
      <c r="A3" t="inlineStr">
        <is>
          <t>来宾人数</t>
        </is>
      </c>
      <c r="B3">
        <v>0</v>
      </c>
    </row>
    <row r="4">
      <c r="A4" t="inlineStr">
        <is>
          <t>套餐</t>
        </is>
      </c>
      <c r="B4" t="inlineStr">
        <is>
          <t/>
        </is>
      </c>
    </row>
    <row r="5">
      <c r="A5" t="inlineStr">
        <is>
          <t>特调饮品站</t>
        </is>
      </c>
      <c r="B5" t="inlineStr">
        <is>
          <t>N</t>
        </is>
      </c>
    </row>
    <row r="6">
      <c r="A6" t="inlineStr">
        <is>
          <t>舞台灯光</t>
        </is>
      </c>
      <c r="B6" t="inlineStr">
        <is>
          <t>N</t>
        </is>
      </c>
    </row>
    <row r="7">
      <c r="A7" t="inlineStr">
        <is>
          <t>拍照墙</t>
        </is>
      </c>
      <c r="B7" t="inlineStr">
        <is>
          <t>N</t>
        </is>
      </c>
    </row>
    <row r="8"/>
    <row r="9">
      <c r="A9" t="inlineStr">
        <is>
          <t>导入要求</t>
        </is>
      </c>
    </row>
    <row r="10">
      <c r="A10" t="inlineStr">
        <is>
          <t>请把 CSV 首行数据写入本表 B 列，A 列字段名已固定，对应顺序不要改。</t>
        </is>
      </c>
    </row>
    <row r="11">
      <c r="A11" t="inlineStr">
        <is>
          <t>只更新 B2:B7，报价明细和汇总中的公式应继续保留。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>
      <c r="A1" t="inlineStr">
        <is>
          <t>项目</t>
        </is>
      </c>
      <c r="B1" t="inlineStr">
        <is>
          <t>选择</t>
        </is>
      </c>
      <c r="C1" t="inlineStr">
        <is>
          <t>数量</t>
        </is>
      </c>
      <c r="D1" t="inlineStr">
        <is>
          <t>单价</t>
        </is>
      </c>
      <c r="E1" t="inlineStr">
        <is>
          <t>金额</t>
        </is>
      </c>
    </row>
    <row r="2">
      <c r="A2" t="inlineStr">
        <is>
          <t>套餐费用</t>
        </is>
      </c>
      <c r="B2" t="str">
        <f>需求录入!B4</f>
        <v/>
      </c>
      <c r="C2">
        <f>需求录入!B3</f>
        <v>0</v>
      </c>
      <c r="D2">
        <f>IF(需求录入!B4="标准",168,IF(需求录入!B4="臻选",228,IF(需求录入!B4="旗舰",288,0)))</f>
        <v>0</v>
      </c>
      <c r="E2">
        <f>C2*D2</f>
        <v>0</v>
      </c>
    </row>
    <row r="3">
      <c r="A3" t="inlineStr">
        <is>
          <t>特调饮品站</t>
        </is>
      </c>
      <c r="B3" t="str">
        <f>IF(需求录入!B5="Y","启用","不启用")</f>
        <v>不启用</v>
      </c>
      <c r="C3">
        <f>IF(需求录入!B5="Y",需求录入!B3,0)</f>
        <v>0</v>
      </c>
      <c r="D3">
        <f>IF(需求录入!B5="Y",26,0)</f>
        <v>0</v>
      </c>
      <c r="E3">
        <f>C3*D3</f>
        <v>0</v>
      </c>
    </row>
    <row r="4">
      <c r="A4" t="inlineStr">
        <is>
          <t>舞台灯光</t>
        </is>
      </c>
      <c r="B4" t="str">
        <f>IF(需求录入!B6="Y","启用","不启用")</f>
        <v>不启用</v>
      </c>
      <c r="C4">
        <f>IF(需求录入!B6="Y",1,0)</f>
        <v>0</v>
      </c>
      <c r="D4">
        <f>IF(需求录入!B6="Y",1800,0)</f>
        <v>0</v>
      </c>
      <c r="E4">
        <f>C4*D4</f>
        <v>0</v>
      </c>
    </row>
    <row r="5">
      <c r="A5" t="inlineStr">
        <is>
          <t>拍照墙</t>
        </is>
      </c>
      <c r="B5" t="str">
        <f>IF(需求录入!B7="Y","启用","不启用")</f>
        <v>不启用</v>
      </c>
      <c r="C5">
        <f>IF(需求录入!B7="Y",1,0)</f>
        <v>0</v>
      </c>
      <c r="D5">
        <f>IF(需求录入!B7="Y",1200,0)</f>
        <v>0</v>
      </c>
      <c r="E5">
        <f>C5*D5</f>
        <v>0</v>
      </c>
    </row>
    <row r="6">
      <c r="A6" t="inlineStr">
        <is>
          <t>税前小计</t>
        </is>
      </c>
      <c r="E6">
        <f>SUM(E2:E5)</f>
        <v>0</v>
      </c>
    </row>
    <row r="7">
      <c r="A7" t="inlineStr">
        <is>
          <t>税费</t>
        </is>
      </c>
      <c r="E7">
        <f>E6*10%</f>
        <v>0</v>
      </c>
    </row>
    <row r="8">
      <c r="A8" t="inlineStr">
        <is>
          <t>含税总计</t>
        </is>
      </c>
      <c r="E8">
        <f>E6+E7</f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>
      <c r="A1" t="inlineStr">
        <is>
          <t>汇总项</t>
        </is>
      </c>
      <c r="B1" t="inlineStr">
        <is>
          <t>值</t>
        </is>
      </c>
    </row>
    <row r="2">
      <c r="A2" t="inlineStr">
        <is>
          <t>活动名称</t>
        </is>
      </c>
      <c r="B2" t="str">
        <f>需求录入!B2</f>
        <v/>
      </c>
    </row>
    <row r="3">
      <c r="A3" t="inlineStr">
        <is>
          <t>来宾人数</t>
        </is>
      </c>
      <c r="B3">
        <f>需求录入!B3</f>
        <v>0</v>
      </c>
    </row>
    <row r="4">
      <c r="A4" t="inlineStr">
        <is>
          <t>套餐</t>
        </is>
      </c>
      <c r="B4" t="str">
        <f>报价明细!B2</f>
        <v/>
      </c>
    </row>
    <row r="5">
      <c r="A5" t="inlineStr">
        <is>
          <t>已启用附加项目数</t>
        </is>
      </c>
      <c r="B5">
        <f>COUNTIF(报价明细!B3:B5,"启用")</f>
        <v>0</v>
      </c>
    </row>
    <row r="6">
      <c r="A6" t="inlineStr">
        <is>
          <t>税前金额</t>
        </is>
      </c>
      <c r="B6">
        <f>报价明细!E6</f>
        <v>0</v>
      </c>
    </row>
    <row r="7">
      <c r="A7" t="inlineStr">
        <is>
          <t>税费</t>
        </is>
      </c>
      <c r="B7">
        <f>报价明细!E7</f>
        <v>0</v>
      </c>
    </row>
    <row r="8">
      <c r="A8" t="inlineStr">
        <is>
          <t>含税总额</t>
        </is>
      </c>
      <c r="B8">
        <f>报价明细!E8</f>
        <v>0</v>
      </c>
    </row>
    <row r="9">
      <c r="A9" t="inlineStr">
        <is>
          <t>说明</t>
        </is>
      </c>
      <c r="B9" t="inlineStr">
        <is>
          <t>汇总页依赖报价明细公式自动更新。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需求录入</vt:lpstr>
      <vt:lpstr>报价明细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2026-03-25T10:30:00Z</dcterms:created>
  <dcterms:modified xsi:type="dcterms:W3CDTF">2026-03-25T10:30:00Z</dcterms:modified>
</cp:coreProperties>
</file>